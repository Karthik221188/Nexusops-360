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arthik Gunasekaran\Desktop\"/>
    </mc:Choice>
  </mc:AlternateContent>
  <xr:revisionPtr revIDLastSave="0" documentId="13_ncr:1_{7D40974A-9A86-4326-BB08-334B2EC39B08}" xr6:coauthVersionLast="47" xr6:coauthVersionMax="47" xr10:uidLastSave="{00000000-0000-0000-0000-000000000000}"/>
  <bookViews>
    <workbookView xWindow="-110" yWindow="-110" windowWidth="19420" windowHeight="10300" xr2:uid="{C04A4DC5-46C6-4364-833E-EAFFD9A28079}"/>
  </bookViews>
  <sheets>
    <sheet name="sheet1" sheetId="2" r:id="rId1"/>
    <sheet name="sheet2" sheetId="1" r:id="rId2"/>
    <sheet name="sheet3" sheetId="3" r:id="rId3"/>
  </sheets>
  <definedNames>
    <definedName name="_xlnm._FilterDatabase" localSheetId="1" hidden="1">sheet2!$A$1:$R$177</definedName>
    <definedName name="_xlnm._FilterDatabase" localSheetId="2" hidden="1">sheet3!$B$1:$E$364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5" i="3" l="1"/>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34"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210"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56"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9" i="3"/>
  <c r="A3" i="3"/>
  <c r="A4" i="3"/>
  <c r="A5" i="3"/>
  <c r="A6" i="3"/>
  <c r="A7" i="3"/>
  <c r="A8" i="3"/>
  <c r="A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2" i="3"/>
</calcChain>
</file>

<file path=xl/sharedStrings.xml><?xml version="1.0" encoding="utf-8"?>
<sst xmlns="http://schemas.openxmlformats.org/spreadsheetml/2006/main" count="3167" uniqueCount="1031">
  <si>
    <t>Facility Code</t>
  </si>
  <si>
    <t>Zone</t>
  </si>
  <si>
    <t>Active Status</t>
  </si>
  <si>
    <t>Regional Head</t>
  </si>
  <si>
    <t>Regional Head Mail id</t>
  </si>
  <si>
    <t>Regional Head Mobile Number</t>
  </si>
  <si>
    <t>Cluster Head</t>
  </si>
  <si>
    <t>Cluster Head Mail id</t>
  </si>
  <si>
    <t>Cluster Head Mobile Number</t>
  </si>
  <si>
    <t>Area Manager 1</t>
  </si>
  <si>
    <t>AM1 Mail id</t>
  </si>
  <si>
    <t>AM1 Mobile Number</t>
  </si>
  <si>
    <t>Area Manager 2</t>
  </si>
  <si>
    <t>AM2 Mail id</t>
  </si>
  <si>
    <t>AM2 Mobile Number</t>
  </si>
  <si>
    <t>Area Manager 3</t>
  </si>
  <si>
    <t>AM3 Mail id</t>
  </si>
  <si>
    <t>AM3 Mobile Number</t>
  </si>
  <si>
    <t>AHS</t>
  </si>
  <si>
    <t>West</t>
  </si>
  <si>
    <t>Active</t>
  </si>
  <si>
    <t>Tushar Dongare</t>
  </si>
  <si>
    <t>tushar.dongare@meesho.com</t>
  </si>
  <si>
    <t>Siddharth Chhibber</t>
  </si>
  <si>
    <t>siddharth.chhibber@meesho.com</t>
  </si>
  <si>
    <t>Prakash Lokhande</t>
  </si>
  <si>
    <t>lokhnade.prakash@meesho.com</t>
  </si>
  <si>
    <t>Vishal Mistri</t>
  </si>
  <si>
    <t>vishal.mistri@meesho.com</t>
  </si>
  <si>
    <t>BLS</t>
  </si>
  <si>
    <t>South</t>
  </si>
  <si>
    <t>Vikrant Pandey</t>
  </si>
  <si>
    <t>vikrant.pandey@meesho.com</t>
  </si>
  <si>
    <t>98030 91594</t>
  </si>
  <si>
    <t>Sujesh S</t>
  </si>
  <si>
    <t>Sujesh.s@meesho.com</t>
  </si>
  <si>
    <t>Shivaraj</t>
  </si>
  <si>
    <t>shivraj.a@meesho.com</t>
  </si>
  <si>
    <t>90366 61602</t>
  </si>
  <si>
    <t>Gowtham</t>
  </si>
  <si>
    <t>gowtham.bs@meesho.com</t>
  </si>
  <si>
    <t>HBS</t>
  </si>
  <si>
    <t>Chamar</t>
  </si>
  <si>
    <t>chamar.munda1@meesho.com</t>
  </si>
  <si>
    <t>Kishore K L</t>
  </si>
  <si>
    <t>kishor.kl@meesho.com</t>
  </si>
  <si>
    <t>Kalyan Reddy</t>
  </si>
  <si>
    <t>kalyan.reddy@meesho.com</t>
  </si>
  <si>
    <t>BWS</t>
  </si>
  <si>
    <t>Ajit Gajana Vedak</t>
  </si>
  <si>
    <t>ajit.vedak@meesho.com</t>
  </si>
  <si>
    <t>Suresh Behera</t>
  </si>
  <si>
    <t>Suresh.behera@meesho.com</t>
  </si>
  <si>
    <t>Awwab Kirme</t>
  </si>
  <si>
    <t>awwab.kirme@meesho.com</t>
  </si>
  <si>
    <t>Sagar Rajkumar Khaple</t>
  </si>
  <si>
    <t>sagar.khaple@meesho.com</t>
  </si>
  <si>
    <t>deepraj.deshmukh@meesho.com</t>
  </si>
  <si>
    <t>MIS</t>
  </si>
  <si>
    <t>Abhishek Mhamunkar</t>
  </si>
  <si>
    <t>abhishek.mhamunkar@meesho.com/manohar.singh@meesho.com</t>
  </si>
  <si>
    <t>9969276834/9992913292</t>
  </si>
  <si>
    <t>Amar Pansare</t>
  </si>
  <si>
    <t>amar.pansare@meesho.com</t>
  </si>
  <si>
    <t>Rahul Thakare</t>
  </si>
  <si>
    <t>rahul.thakare@meesho.com</t>
  </si>
  <si>
    <t>BHS</t>
  </si>
  <si>
    <t>Inactive</t>
  </si>
  <si>
    <t>Axendra Singh Chouhan</t>
  </si>
  <si>
    <t>axendra.chouhan@meesho.com</t>
  </si>
  <si>
    <t>Deepak Sharma</t>
  </si>
  <si>
    <t>deepak.sharma3@meesho.com</t>
  </si>
  <si>
    <t>Diwakar saurabh kumar chandrika prasad</t>
  </si>
  <si>
    <t>saurabhkumar.prashad@meesho.com</t>
  </si>
  <si>
    <t>Rajneesh Singh</t>
  </si>
  <si>
    <t>rajneesh.singh@meesho.com</t>
  </si>
  <si>
    <t>BUS</t>
  </si>
  <si>
    <t>East</t>
  </si>
  <si>
    <t>Banit Roy</t>
  </si>
  <si>
    <t>banit.roy@meesho.com</t>
  </si>
  <si>
    <t>Deepak Pradhan</t>
  </si>
  <si>
    <t>deepak.pradhan@meesho.com</t>
  </si>
  <si>
    <t>Chandan Kumar Goswami</t>
  </si>
  <si>
    <t>chandan.goswami@meesho.com</t>
  </si>
  <si>
    <t>Jamaluddin Khan</t>
  </si>
  <si>
    <t>jamaluddin.khan@meesho.com</t>
  </si>
  <si>
    <t>BBS</t>
  </si>
  <si>
    <t>Pushpa dhwaja hans</t>
  </si>
  <si>
    <t>puspadhwaja.hans@meesho.com</t>
  </si>
  <si>
    <t>Bibhuti Sethy</t>
  </si>
  <si>
    <t>bibhuti.sethy@meesho.com</t>
  </si>
  <si>
    <t>MRS</t>
  </si>
  <si>
    <t>Praveen Kumar H</t>
  </si>
  <si>
    <t>praveenkumar.h@meesho.com</t>
  </si>
  <si>
    <t>Bhavani Shankar</t>
  </si>
  <si>
    <t>bhavani.n@meesho.com</t>
  </si>
  <si>
    <t>Sheshathri R</t>
  </si>
  <si>
    <t>Sheshathri.r@meesho.com</t>
  </si>
  <si>
    <t>Prathip Raj</t>
  </si>
  <si>
    <t>prathipraj.s@meesho.com</t>
  </si>
  <si>
    <t>824 875 4934</t>
  </si>
  <si>
    <t>DSS</t>
  </si>
  <si>
    <t>North</t>
  </si>
  <si>
    <t>Prince Shukla</t>
  </si>
  <si>
    <t>prince.shukla@meesho.com</t>
  </si>
  <si>
    <t>Ashish Sharma</t>
  </si>
  <si>
    <t>ashish.sharma2@meesho.com</t>
  </si>
  <si>
    <t>surya pratap</t>
  </si>
  <si>
    <t>surya.pratap@meesho.com</t>
  </si>
  <si>
    <t>BMS</t>
  </si>
  <si>
    <t>Dhirender Deswal</t>
  </si>
  <si>
    <t>dhirender.deswal@meesho.com</t>
  </si>
  <si>
    <t>Rahul Kumar Mishra</t>
  </si>
  <si>
    <t>rahul.mishra3@meesho.com</t>
  </si>
  <si>
    <t>Ashish Kumar</t>
  </si>
  <si>
    <t>ashish.kumar4@meesho.com</t>
  </si>
  <si>
    <t>Jasveer Singh</t>
  </si>
  <si>
    <t>jasveer.singh@meesho.com</t>
  </si>
  <si>
    <t>LOS</t>
  </si>
  <si>
    <t>Prince Sharma</t>
  </si>
  <si>
    <t>prince.sharma@meesho.com</t>
  </si>
  <si>
    <t>Kuldeep</t>
  </si>
  <si>
    <t>Kuldeep.kumar2@meesho.com</t>
  </si>
  <si>
    <t>Pinto</t>
  </si>
  <si>
    <t>pintoo.shah@meesho.com</t>
  </si>
  <si>
    <t>Rajat sengar</t>
  </si>
  <si>
    <t>DHS</t>
  </si>
  <si>
    <t>Bajendra</t>
  </si>
  <si>
    <t>bajendra.rauta@meesho.com</t>
  </si>
  <si>
    <t>7624961 553</t>
  </si>
  <si>
    <t>prashant.pothdar@meesho.com</t>
  </si>
  <si>
    <t>Farukh</t>
  </si>
  <si>
    <t>faruk.abdullah@meesho.com</t>
  </si>
  <si>
    <t>60009 81093</t>
  </si>
  <si>
    <t>FRS</t>
  </si>
  <si>
    <t>Keshav Jee</t>
  </si>
  <si>
    <t>keshav.jee@meesho.com</t>
  </si>
  <si>
    <t>Rohit Dubey</t>
  </si>
  <si>
    <t>rohit.dubey@meesho.com</t>
  </si>
  <si>
    <t>DLS</t>
  </si>
  <si>
    <t>Alan Winsent Martin</t>
  </si>
  <si>
    <t>alan.martin@meesho.com</t>
  </si>
  <si>
    <t>Sombir</t>
  </si>
  <si>
    <t>sombir@meesho.com</t>
  </si>
  <si>
    <t>Arvind Yadav</t>
  </si>
  <si>
    <t>arvind.yadav@meesho.com</t>
  </si>
  <si>
    <t>Indu</t>
  </si>
  <si>
    <t>GAS</t>
  </si>
  <si>
    <t>Krishna Kumar Pandey</t>
  </si>
  <si>
    <t>GUS</t>
  </si>
  <si>
    <t>Vishnu Dutta Mishra</t>
  </si>
  <si>
    <t>vishnu.mishra1@meesho.com</t>
  </si>
  <si>
    <t>Akshay Kumar</t>
  </si>
  <si>
    <t>Akshay.kumar1@meesho.com</t>
  </si>
  <si>
    <t>DGS1</t>
  </si>
  <si>
    <t>Akshit Ahuja</t>
  </si>
  <si>
    <t>akshit.ahuja@meesho.com</t>
  </si>
  <si>
    <t>Rajesh</t>
  </si>
  <si>
    <t>rajesh.yadav@meesho.com</t>
  </si>
  <si>
    <t>TVNS</t>
  </si>
  <si>
    <t>aditya uttekar</t>
  </si>
  <si>
    <t>GPS</t>
  </si>
  <si>
    <t>Suraj kumar</t>
  </si>
  <si>
    <t>suraj.kumar2@meesho.com</t>
  </si>
  <si>
    <t>Satrughan Kumar</t>
  </si>
  <si>
    <t>satrughan.chourasia@meesho.com</t>
  </si>
  <si>
    <t>Alok anupam</t>
  </si>
  <si>
    <t>alok.anupam@meesho.com</t>
  </si>
  <si>
    <t>GHS</t>
  </si>
  <si>
    <t>Suren Hazarika</t>
  </si>
  <si>
    <t>suren.hazarika@meesho.com</t>
  </si>
  <si>
    <t>Deepjyoti Talukdar</t>
  </si>
  <si>
    <t>deepjyoti.talukdar@meesho.com</t>
  </si>
  <si>
    <t>Brij kishore chauhan</t>
  </si>
  <si>
    <t>brij.chauhan@meesho.com</t>
  </si>
  <si>
    <t>Dipjyoti Dey</t>
  </si>
  <si>
    <t>dipjyoti.dey@meesho.com</t>
  </si>
  <si>
    <t>DBS</t>
  </si>
  <si>
    <t>Surya Deep Das</t>
  </si>
  <si>
    <t>surya.das@meesho.com</t>
  </si>
  <si>
    <t>bikash.borah@meesho.com</t>
  </si>
  <si>
    <t>FKS</t>
  </si>
  <si>
    <t>indu@meesho.com</t>
  </si>
  <si>
    <t>Sonu Yadav</t>
  </si>
  <si>
    <t>sonu.yadav@meesho.com</t>
  </si>
  <si>
    <t>Banti</t>
  </si>
  <si>
    <t>HGS</t>
  </si>
  <si>
    <t>Anupam Bal</t>
  </si>
  <si>
    <t>anupam.bal@meesho.com</t>
  </si>
  <si>
    <t>Barun Santra</t>
  </si>
  <si>
    <t>barun.santra@meesho.com</t>
  </si>
  <si>
    <t>Saikat Debnath</t>
  </si>
  <si>
    <t>saikat.debnath@meesho.com</t>
  </si>
  <si>
    <t>70032 86129</t>
  </si>
  <si>
    <t>HYS</t>
  </si>
  <si>
    <t>Pavan Kumar</t>
  </si>
  <si>
    <t>Pavan.kumar1@meesho.com</t>
  </si>
  <si>
    <t>"Pakkula Sathish"</t>
  </si>
  <si>
    <t>yerrabonia.kumar@meesho.com</t>
  </si>
  <si>
    <t>Bommi Nagesh</t>
  </si>
  <si>
    <t>bommi.nagesh@meesho.com</t>
  </si>
  <si>
    <t>JBS</t>
  </si>
  <si>
    <t>Gaurav Tayade</t>
  </si>
  <si>
    <t>gaurav.tayade@meesho.com</t>
  </si>
  <si>
    <t>Durgesh kori</t>
  </si>
  <si>
    <t>durgesh.kori@meesho.com</t>
  </si>
  <si>
    <t>Pushpendra kumar patel</t>
  </si>
  <si>
    <t>pushpendra.patel@meesho.com</t>
  </si>
  <si>
    <t>JAS</t>
  </si>
  <si>
    <t>Vikram Singh Rathore</t>
  </si>
  <si>
    <t>vikram.rathore1@meesho.com</t>
  </si>
  <si>
    <t>DUSHYANT KUMAR</t>
  </si>
  <si>
    <t>dushyant.kumar@meesho.com</t>
  </si>
  <si>
    <t>Mantesh Kumar Bairwa</t>
  </si>
  <si>
    <t>mantesh.bairwa@meesho.com</t>
  </si>
  <si>
    <t>JPS</t>
  </si>
  <si>
    <t>Piyush Singh</t>
  </si>
  <si>
    <t>piyush.singh@meesho.com</t>
  </si>
  <si>
    <t>Abdul Rahuf</t>
  </si>
  <si>
    <t>abdul.rahuf@meesho.com</t>
  </si>
  <si>
    <t>JIS</t>
  </si>
  <si>
    <t>Indu Bala</t>
  </si>
  <si>
    <t>indu.bala@meesho.com</t>
  </si>
  <si>
    <t>Sonu Bairwa</t>
  </si>
  <si>
    <t>sonu.bairwa@meesho.com</t>
  </si>
  <si>
    <t>Rohit Singh Shekhawat</t>
  </si>
  <si>
    <t>rohit.shekhawat@meesho.com</t>
  </si>
  <si>
    <t>JUS</t>
  </si>
  <si>
    <t>JJS</t>
  </si>
  <si>
    <t>SOURABH SAIN</t>
  </si>
  <si>
    <t>sourabh.sain@meesho.com</t>
  </si>
  <si>
    <t>Gyan Bahadur Jaiswal</t>
  </si>
  <si>
    <t>gyan.jaiswal@meesho.com</t>
  </si>
  <si>
    <t>KBS</t>
  </si>
  <si>
    <t>Tushar Sharma</t>
  </si>
  <si>
    <t>tushar.sharma@meesho.com</t>
  </si>
  <si>
    <t>Suraj Chaturvedi</t>
  </si>
  <si>
    <t>suraj.chaturvedi1@meesho.com</t>
  </si>
  <si>
    <t>Amrendra singh</t>
  </si>
  <si>
    <t>amrendra.singh@meesho.com</t>
  </si>
  <si>
    <t>Rituraj gupta</t>
  </si>
  <si>
    <t>rituraj.gupta@meesho.com</t>
  </si>
  <si>
    <t>KYS</t>
  </si>
  <si>
    <t>Joseph Cherian</t>
  </si>
  <si>
    <t>joseph.cherian@meesho.com</t>
  </si>
  <si>
    <t>KOS</t>
  </si>
  <si>
    <t>Pritam Ghosh</t>
  </si>
  <si>
    <t>pritam.ghosh@meesho.com</t>
  </si>
  <si>
    <t>Tapas Bhuinya</t>
  </si>
  <si>
    <t>tapas.bhuinya@meesho.com</t>
  </si>
  <si>
    <t>4ls</t>
  </si>
  <si>
    <t>Md Sahid Mostafa Tarafdar</t>
  </si>
  <si>
    <t>md.tarafdar@meesho.com</t>
  </si>
  <si>
    <t>LKS</t>
  </si>
  <si>
    <t>Aman Mishra</t>
  </si>
  <si>
    <t>aman.mishra@meesho.com</t>
  </si>
  <si>
    <t>Umakant Maurya</t>
  </si>
  <si>
    <t>umakant.maurya@meesho.com</t>
  </si>
  <si>
    <t>VSS</t>
  </si>
  <si>
    <t>Ramnaresh Dwivedi</t>
  </si>
  <si>
    <t>ramnaresh.dwivedi@meesho.com</t>
  </si>
  <si>
    <t>Ajeet Kumar Singh</t>
  </si>
  <si>
    <t>ajeet.singh@meesho.com</t>
  </si>
  <si>
    <t>LUS</t>
  </si>
  <si>
    <t>Sourav Nath</t>
  </si>
  <si>
    <t>sourav.mishra@meesho.com</t>
  </si>
  <si>
    <t>Arwinder Singh</t>
  </si>
  <si>
    <t>arwinder.singh@meesho.com</t>
  </si>
  <si>
    <t>Arun Prashar</t>
  </si>
  <si>
    <t>arun.prasher@meesho.com</t>
  </si>
  <si>
    <t>97817 67191</t>
  </si>
  <si>
    <t>LAS</t>
  </si>
  <si>
    <t>Gurjit Singh</t>
  </si>
  <si>
    <t>gurjit.singh@meesho.com</t>
  </si>
  <si>
    <t>DCS</t>
  </si>
  <si>
    <t>Mukesh Singh</t>
  </si>
  <si>
    <t>mukesh.singh@meesho.com</t>
  </si>
  <si>
    <t>Bhupender</t>
  </si>
  <si>
    <t>bhupender@meesho.com</t>
  </si>
  <si>
    <t>Sourabh Kumar</t>
  </si>
  <si>
    <t>sourabh.kumar1@meesho.com</t>
  </si>
  <si>
    <t>NNS</t>
  </si>
  <si>
    <t>Vaibhav Bhadake</t>
  </si>
  <si>
    <t>vaibhav.bhadake1@meesho.com</t>
  </si>
  <si>
    <t>97301 82936</t>
  </si>
  <si>
    <t>Vivek Kaware</t>
  </si>
  <si>
    <t>vivek.kaware@meesho.com</t>
  </si>
  <si>
    <t>98600 83678</t>
  </si>
  <si>
    <t>Shreyash Kapse</t>
  </si>
  <si>
    <t>shreyash.kapse@meesho.com</t>
  </si>
  <si>
    <t>Akshata</t>
  </si>
  <si>
    <t>akshata.wanve@meesho.com</t>
  </si>
  <si>
    <t>PTS</t>
  </si>
  <si>
    <t>Himanshu kumar</t>
  </si>
  <si>
    <t>himanshu.kumar2@meesho.com</t>
  </si>
  <si>
    <t>Ravi Ranjan</t>
  </si>
  <si>
    <t>ravi.ranjan1@meesho.com</t>
  </si>
  <si>
    <t>Shashikant Kumar</t>
  </si>
  <si>
    <t>shashikant.kumar@meesho.com</t>
  </si>
  <si>
    <t>Deepak Gupta</t>
  </si>
  <si>
    <t>deepak.gupta2@meesho.com</t>
  </si>
  <si>
    <t>PES</t>
  </si>
  <si>
    <t>Nilesh Parbhane</t>
  </si>
  <si>
    <t>nilesh.parbhane@meesho.com</t>
  </si>
  <si>
    <t>NUS</t>
  </si>
  <si>
    <t>Vaibhav Bhadke</t>
  </si>
  <si>
    <t>Narvin Hirekhan</t>
  </si>
  <si>
    <t>narvin.k@meesho.com</t>
  </si>
  <si>
    <t>RKS</t>
  </si>
  <si>
    <t>Rohit Kakade</t>
  </si>
  <si>
    <t>rohit.kakade@meesho.com</t>
  </si>
  <si>
    <t>sudeep kumar pandey</t>
  </si>
  <si>
    <t>sudeep.pandey@meesho.com</t>
  </si>
  <si>
    <t>Prakul Jaret</t>
  </si>
  <si>
    <t>prakul.jaret@meesho.com</t>
  </si>
  <si>
    <t>RNS</t>
  </si>
  <si>
    <t>Kumar Sourav</t>
  </si>
  <si>
    <t>kumar.sourav@meesho.com</t>
  </si>
  <si>
    <t>KANHAI KUMAR THAKUR</t>
  </si>
  <si>
    <t>kanhai.thakur@meesho.com</t>
  </si>
  <si>
    <t>91223 14435</t>
  </si>
  <si>
    <t>SYS</t>
  </si>
  <si>
    <t>Debajit Nath</t>
  </si>
  <si>
    <t>debajit.nath@meesho.com</t>
  </si>
  <si>
    <t>Ratul Paul</t>
  </si>
  <si>
    <t>ratul.paul@meesho.com</t>
  </si>
  <si>
    <t>Joydeep Bagti</t>
  </si>
  <si>
    <t>joydeep.bagti@meesho.com</t>
  </si>
  <si>
    <t>GVS</t>
  </si>
  <si>
    <t>Hirakjyoti Sarma</t>
  </si>
  <si>
    <t>hirakjyoti.sarma@meesho.com</t>
  </si>
  <si>
    <t>Pranjit Das</t>
  </si>
  <si>
    <t>pranjit.das@meesho.com</t>
  </si>
  <si>
    <t>SLS</t>
  </si>
  <si>
    <t>Pradip Kumar</t>
  </si>
  <si>
    <t>pradip.kumar@meesho.com</t>
  </si>
  <si>
    <t>Soubhik Ranjan Sarkar</t>
  </si>
  <si>
    <t>soubhik.sarkar@meesho.com</t>
  </si>
  <si>
    <t>Ravi Rausshan Kumar</t>
  </si>
  <si>
    <t>Bikash Borah</t>
  </si>
  <si>
    <t>Tanusri Pradhan</t>
  </si>
  <si>
    <t>tanusri.pardhan@meesho.com</t>
  </si>
  <si>
    <t>AOS</t>
  </si>
  <si>
    <t>Navneet Kumar</t>
  </si>
  <si>
    <t>navneet.kumar1@meesho.com</t>
  </si>
  <si>
    <t>Anuj Kumar</t>
  </si>
  <si>
    <t>anuj.kumar2@meesho.com</t>
  </si>
  <si>
    <t>Vishal Soni</t>
  </si>
  <si>
    <t>vishal.soni@meesho.com</t>
  </si>
  <si>
    <t>SPS</t>
  </si>
  <si>
    <t>Mukesh Patil</t>
  </si>
  <si>
    <t>mukesh.patil@meesho.com</t>
  </si>
  <si>
    <t>kishan singh</t>
  </si>
  <si>
    <t>kishan.singh@meesho.com</t>
  </si>
  <si>
    <t>Shubham Shah</t>
  </si>
  <si>
    <t>shubham.kumar3@meesho.com</t>
  </si>
  <si>
    <t>SHS</t>
  </si>
  <si>
    <t>Pankaj Tripathi</t>
  </si>
  <si>
    <t>pankaj.tripathi@meesho.com</t>
  </si>
  <si>
    <t>Shubham Mishra</t>
  </si>
  <si>
    <t>shubham.mishra2@meesho.com</t>
  </si>
  <si>
    <t>Nitesh Mehta</t>
  </si>
  <si>
    <t>nitesh.mehta@meesho.com</t>
  </si>
  <si>
    <t>SUS</t>
  </si>
  <si>
    <t>SCS</t>
  </si>
  <si>
    <t>Sudhir Pratap Singh</t>
  </si>
  <si>
    <t>Sudhir.singh@meesho.com</t>
  </si>
  <si>
    <t>Rahul Borude</t>
  </si>
  <si>
    <t>rahul.borude@meesho.com</t>
  </si>
  <si>
    <t>Jagdish Sureshbhai trivedi</t>
  </si>
  <si>
    <t>trivedi.sureshbhai@meesho.com</t>
  </si>
  <si>
    <t>SBS</t>
  </si>
  <si>
    <t>Kiran Jadhav</t>
  </si>
  <si>
    <t>jadav.kiran@meesho.com</t>
  </si>
  <si>
    <t>9265430735/ 9033146926</t>
  </si>
  <si>
    <t>sanket pundkar</t>
  </si>
  <si>
    <t>sanket.pundkar@meesho.com</t>
  </si>
  <si>
    <t>SES</t>
  </si>
  <si>
    <t>Santosh Kumar Soni</t>
  </si>
  <si>
    <t>santosh.soni@meesho.com</t>
  </si>
  <si>
    <t>Akshay Patel</t>
  </si>
  <si>
    <t>akshaykumar.patel@meesho.com</t>
  </si>
  <si>
    <t>Vinod Kalal</t>
  </si>
  <si>
    <t>kalal.vinod@meesho.com</t>
  </si>
  <si>
    <t>VWS</t>
  </si>
  <si>
    <t>Kuruba Ravi</t>
  </si>
  <si>
    <t>Kuruba.ravi@meesho.com</t>
  </si>
  <si>
    <t>pagolu.kumar@meesho.com</t>
  </si>
  <si>
    <t>70131 58900</t>
  </si>
  <si>
    <t>Durga Prasad</t>
  </si>
  <si>
    <t>malabanti.prasad@meesho.com</t>
  </si>
  <si>
    <t>VZS</t>
  </si>
  <si>
    <t>Padmanabi Rakesh</t>
  </si>
  <si>
    <t>padmanabi.rakesh@meesho.com</t>
  </si>
  <si>
    <t>gorapalli.srikant</t>
  </si>
  <si>
    <t>gorapalli.srikant@meesho.com</t>
  </si>
  <si>
    <t>Kotnana Prabhu Kumar</t>
  </si>
  <si>
    <t>kotnana.kumar@meesho.com</t>
  </si>
  <si>
    <t>NCRS</t>
  </si>
  <si>
    <t>Tarun Kumar</t>
  </si>
  <si>
    <t>tarun.kumar2@meesho.com</t>
  </si>
  <si>
    <t>7053637751/8700445098</t>
  </si>
  <si>
    <t>VISHAL</t>
  </si>
  <si>
    <t>vishal2@meesho.com</t>
  </si>
  <si>
    <t>EUS</t>
  </si>
  <si>
    <t>Mohd Juvair</t>
  </si>
  <si>
    <t>mohd.juvair@meesho.com</t>
  </si>
  <si>
    <t>Shobhit</t>
  </si>
  <si>
    <t>shobhit@meesho.com</t>
  </si>
  <si>
    <t>HJS</t>
  </si>
  <si>
    <t>Himanshu Kumar</t>
  </si>
  <si>
    <t>Adarsh kumar</t>
  </si>
  <si>
    <t>adarsh.kumar1@meesho.com</t>
  </si>
  <si>
    <t>Prahalad Kumar Jha</t>
  </si>
  <si>
    <t>prahalad.jha@meesho.com</t>
  </si>
  <si>
    <t>Prabhakar Kumar</t>
  </si>
  <si>
    <t>prabhakar.kumar@meesho.com</t>
  </si>
  <si>
    <t>GTS</t>
  </si>
  <si>
    <t>Rakesh Kumar</t>
  </si>
  <si>
    <t>rakesh.kumar3@meesho.com</t>
  </si>
  <si>
    <t>Vishwas Singh</t>
  </si>
  <si>
    <t>Vishwas.singh@meesho.com</t>
  </si>
  <si>
    <t>RPS</t>
  </si>
  <si>
    <t>Ramesh</t>
  </si>
  <si>
    <t>ramesh.hatile@meesho.com</t>
  </si>
  <si>
    <t>81205 71922</t>
  </si>
  <si>
    <t>Raj Yadav</t>
  </si>
  <si>
    <t>raj.yadav1@meesho.com</t>
  </si>
  <si>
    <t>lmran Khan</t>
  </si>
  <si>
    <t>imran.khan2@meesho.com</t>
  </si>
  <si>
    <t>RWS</t>
  </si>
  <si>
    <t>Sk Samirul Islam</t>
  </si>
  <si>
    <t>samirul.sk@meesho.com</t>
  </si>
  <si>
    <t>Abir Baran Roy</t>
  </si>
  <si>
    <t>abir.roy@meesho.com</t>
  </si>
  <si>
    <t>PYS</t>
  </si>
  <si>
    <t>Rekha Navnath Shinde</t>
  </si>
  <si>
    <t>rekha.shinde@meesho.com</t>
  </si>
  <si>
    <t>Rahul patil</t>
  </si>
  <si>
    <t>rahul.patil1@meesho.com</t>
  </si>
  <si>
    <t>INS</t>
  </si>
  <si>
    <t>Raj kumar yadav</t>
  </si>
  <si>
    <t>raj.yadav@meesho.com</t>
  </si>
  <si>
    <t>ROSHAN ASHTIYA</t>
  </si>
  <si>
    <t>roshan.asthiya@meesho.com</t>
  </si>
  <si>
    <t>Abhiyudd soni</t>
  </si>
  <si>
    <t>abhiyuddh.soni@meesho.com</t>
  </si>
  <si>
    <t>HWS</t>
  </si>
  <si>
    <t>Arindam Dutta</t>
  </si>
  <si>
    <t>arindam.dutta@meesho.com</t>
  </si>
  <si>
    <t>Subrata Mondal</t>
  </si>
  <si>
    <t>subrata.mondal@meesho.com</t>
  </si>
  <si>
    <t>Abhijit Mahato</t>
  </si>
  <si>
    <t>abhijit.mahato@meesho.com</t>
  </si>
  <si>
    <t>90071 33024</t>
  </si>
  <si>
    <t>SU8S</t>
  </si>
  <si>
    <t>Nilesh vasiya</t>
  </si>
  <si>
    <t>vasiya.manjibhai@meesho.com</t>
  </si>
  <si>
    <t>Hemant Verma</t>
  </si>
  <si>
    <t>hemant.verma@meesho.com</t>
  </si>
  <si>
    <t>SU9S</t>
  </si>
  <si>
    <t>Yash Singh rajpoot</t>
  </si>
  <si>
    <t>yash.singh2@meesho.com</t>
  </si>
  <si>
    <t>JTS</t>
  </si>
  <si>
    <t>Mahaveer Sharma</t>
  </si>
  <si>
    <t>mahaveer.sharma@meesho.com</t>
  </si>
  <si>
    <t>Vikaskumar Ray</t>
  </si>
  <si>
    <t>vikaskumar.ray@meesho.com</t>
  </si>
  <si>
    <t>S10S</t>
  </si>
  <si>
    <t>AJay kumar</t>
  </si>
  <si>
    <t>ajay.kumar4@meesho.com</t>
  </si>
  <si>
    <t>HUS</t>
  </si>
  <si>
    <t>Manish Punia</t>
  </si>
  <si>
    <t>manish1@meesho.com</t>
  </si>
  <si>
    <t>Sonu Kumar</t>
  </si>
  <si>
    <t>sonu.kumar1@meesho.com</t>
  </si>
  <si>
    <t>POS</t>
  </si>
  <si>
    <t>Satyanarayana Kumar</t>
  </si>
  <si>
    <t>satyanarayana.kumar@meesho.com</t>
  </si>
  <si>
    <t>Vinay Bhushan</t>
  </si>
  <si>
    <t>vinay.bhushan@meesho.com</t>
  </si>
  <si>
    <t>Chintu Kumar</t>
  </si>
  <si>
    <t>chintu.kumar@meesho.com</t>
  </si>
  <si>
    <t>LDNS</t>
  </si>
  <si>
    <t>Mohd Rizwan</t>
  </si>
  <si>
    <t>mohammad.rizwan@meesho.com</t>
  </si>
  <si>
    <t>CTS</t>
  </si>
  <si>
    <t>Karthik</t>
  </si>
  <si>
    <t>karthik.gunasekaran@meesho.com</t>
  </si>
  <si>
    <t>Malarvannan V</t>
  </si>
  <si>
    <t>malarvannan.v@meesho.com</t>
  </si>
  <si>
    <t>Karthikeyan Palanisamy</t>
  </si>
  <si>
    <t>karthikeyan.p@meesho.com</t>
  </si>
  <si>
    <t>CFS</t>
  </si>
  <si>
    <t>Riyaz khan</t>
  </si>
  <si>
    <t>riyaskhan@meesho.com</t>
  </si>
  <si>
    <t>Reshmi Ramesh</t>
  </si>
  <si>
    <t>reshmi.ramesh@meesho.com</t>
  </si>
  <si>
    <t>Sree ranjith</t>
  </si>
  <si>
    <t>sreeranjith.r@meesho.com</t>
  </si>
  <si>
    <t>Parthiban</t>
  </si>
  <si>
    <t>A2S</t>
  </si>
  <si>
    <t>Janak Singh Jadav</t>
  </si>
  <si>
    <t>jadav.kanaksinh@meesho.com</t>
  </si>
  <si>
    <t>HTS</t>
  </si>
  <si>
    <t>Sandip Pandit</t>
  </si>
  <si>
    <t>sandip.pandit@meesho.com</t>
  </si>
  <si>
    <t>Deep Kumar Dey</t>
  </si>
  <si>
    <t>deep.dey@meesho.com</t>
  </si>
  <si>
    <t>LCS</t>
  </si>
  <si>
    <t>Sandeep Kushwaha</t>
  </si>
  <si>
    <t>sandeep.kushwaha@meesho.com</t>
  </si>
  <si>
    <t>Akash Singh</t>
  </si>
  <si>
    <t>Akash.singh4@meesho.com</t>
  </si>
  <si>
    <t>Dileep kumar</t>
  </si>
  <si>
    <t>dileep.kashyap@meesho.com</t>
  </si>
  <si>
    <t>CYS</t>
  </si>
  <si>
    <t>Ashok kumar. V</t>
  </si>
  <si>
    <t>ashokkumar.vellingiri@meesho.com</t>
  </si>
  <si>
    <t>CIS</t>
  </si>
  <si>
    <t>Sathish Venkatesh</t>
  </si>
  <si>
    <t>sathish.venkatesh@meesho.com</t>
  </si>
  <si>
    <t>Prathipraj S</t>
  </si>
  <si>
    <t>sheshathri.r@meesho.com</t>
  </si>
  <si>
    <t>Dhanalakshmi</t>
  </si>
  <si>
    <t>dhanalakshmi@meesho.com</t>
  </si>
  <si>
    <t>IMS</t>
  </si>
  <si>
    <t>Mohammed Gubaidullah Rahumathullah</t>
  </si>
  <si>
    <t>mohammed.gr@meesho.com</t>
  </si>
  <si>
    <t>Hariprasath M</t>
  </si>
  <si>
    <t>hariprasath.m@meesho.com</t>
  </si>
  <si>
    <t>RFS</t>
  </si>
  <si>
    <t>Kranti Chouhan</t>
  </si>
  <si>
    <t>kranti.chouhan@meesho.com</t>
  </si>
  <si>
    <t>Avinash</t>
  </si>
  <si>
    <t>chavda.ashokbhai@meesho.com</t>
  </si>
  <si>
    <t>6354 324 702</t>
  </si>
  <si>
    <t>JFS</t>
  </si>
  <si>
    <t>Ramavtar Mourya</t>
  </si>
  <si>
    <t>ramavtar.mourya@meesho.com</t>
  </si>
  <si>
    <t>VIKAS PRAJAPAT</t>
  </si>
  <si>
    <t>vikas.prajapat@meesho.com</t>
  </si>
  <si>
    <t>JVS</t>
  </si>
  <si>
    <t>RRS</t>
  </si>
  <si>
    <t>Sekhar Pandey</t>
  </si>
  <si>
    <t>sekhar.pandey@meesho.com</t>
  </si>
  <si>
    <t>Ashok Naik</t>
  </si>
  <si>
    <t>ashok.naik@meesho.com</t>
  </si>
  <si>
    <t>PVS</t>
  </si>
  <si>
    <t>Jay Narayan Singh</t>
  </si>
  <si>
    <t>jay.singh@meesho.com</t>
  </si>
  <si>
    <t>Ramesh Singh</t>
  </si>
  <si>
    <t>ramesh.singh@meesho.com</t>
  </si>
  <si>
    <t>RTS</t>
  </si>
  <si>
    <t>Sandip</t>
  </si>
  <si>
    <t>sandipkumar.saravaiya@meesho.com</t>
  </si>
  <si>
    <t>87803 55112</t>
  </si>
  <si>
    <t>FUS</t>
  </si>
  <si>
    <t>Arvind Chauhan</t>
  </si>
  <si>
    <t>arvind.chauhan@meesho.com</t>
  </si>
  <si>
    <t>banti@meesho.com</t>
  </si>
  <si>
    <t>SU7S</t>
  </si>
  <si>
    <t>Pravin arun mali</t>
  </si>
  <si>
    <t>pravin.mali@meesho.com</t>
  </si>
  <si>
    <t>NKS</t>
  </si>
  <si>
    <t>abhishek.mhamunkar@meesho.com</t>
  </si>
  <si>
    <t>Hemant kumbharde</t>
  </si>
  <si>
    <t>hemant.kumbharde@meesho.com</t>
  </si>
  <si>
    <t>kalpesh sangale</t>
  </si>
  <si>
    <t>kalpesh.sangale@meesho.com</t>
  </si>
  <si>
    <t>sharad.rathod@meesho.com</t>
  </si>
  <si>
    <t>SGS1</t>
  </si>
  <si>
    <t>Santhosh Kumar Soni</t>
  </si>
  <si>
    <t>Shubham Tiwari</t>
  </si>
  <si>
    <t>shubham.tiwari@meesho.com</t>
  </si>
  <si>
    <t>Sandeep Chauhan</t>
  </si>
  <si>
    <t>sandeep.chauhan@meesho.com</t>
  </si>
  <si>
    <t>SNPS</t>
  </si>
  <si>
    <t>Kuldeep Kumar</t>
  </si>
  <si>
    <t>kuldeep.kumar1@meesho.com</t>
  </si>
  <si>
    <t>Paramjeet Dahiya</t>
  </si>
  <si>
    <t>paramjeet.dahiya@meesho.com</t>
  </si>
  <si>
    <t>AGRS</t>
  </si>
  <si>
    <t>Ranjit</t>
  </si>
  <si>
    <t>ranjit@meesho.com</t>
  </si>
  <si>
    <t>Karan Singh</t>
  </si>
  <si>
    <t>karan.singh1@meesho.com</t>
  </si>
  <si>
    <t>Rana pratap</t>
  </si>
  <si>
    <t>rana.pratap@meesho.com</t>
  </si>
  <si>
    <t>HYDS</t>
  </si>
  <si>
    <t>Adigoppula Mallikharjun</t>
  </si>
  <si>
    <t>mallikharjun@meesho.com</t>
  </si>
  <si>
    <t>Pokkula Satish</t>
  </si>
  <si>
    <t>pokkula.sathish@meesho.com</t>
  </si>
  <si>
    <t>CH Shivaji</t>
  </si>
  <si>
    <t>chinthala.shivaji@meesho.com</t>
  </si>
  <si>
    <t>DGS2</t>
  </si>
  <si>
    <t>Suresh Kannan</t>
  </si>
  <si>
    <t>suresh.kannan@meesho.com</t>
  </si>
  <si>
    <t>Sunil Thakran</t>
  </si>
  <si>
    <t>sunil@meesho.com</t>
  </si>
  <si>
    <t>Shankar Dagar</t>
  </si>
  <si>
    <t>shankar.dagar@meesho.com</t>
  </si>
  <si>
    <t>FRDS</t>
  </si>
  <si>
    <t>kuldeep.kumar@meesho.com</t>
  </si>
  <si>
    <t>Vishwajeet Kumar</t>
  </si>
  <si>
    <t>vishwajeet.kumar1@meesho.com</t>
  </si>
  <si>
    <t>BLRS</t>
  </si>
  <si>
    <t>Abhishek Anand</t>
  </si>
  <si>
    <t>abhishek.anand@meesho.com</t>
  </si>
  <si>
    <t>HBLS</t>
  </si>
  <si>
    <t>Shivakumar</t>
  </si>
  <si>
    <t>Shivakumar.c@meesho.com</t>
  </si>
  <si>
    <t>Uday</t>
  </si>
  <si>
    <t>uday.dodamani@meesho.com</t>
  </si>
  <si>
    <t>S11S</t>
  </si>
  <si>
    <t>Mihir Pawar</t>
  </si>
  <si>
    <t>pawar.sunil@meesho.com</t>
  </si>
  <si>
    <t>Shivam Soni</t>
  </si>
  <si>
    <t>shivam.soni@meesho.com</t>
  </si>
  <si>
    <t>SGRS</t>
  </si>
  <si>
    <t>Shriyansh sen</t>
  </si>
  <si>
    <t>shriyansh.sen@meesho.com</t>
  </si>
  <si>
    <t>Praveen sen</t>
  </si>
  <si>
    <t>praveen.sen@meesho.com</t>
  </si>
  <si>
    <t>manoj.kumar3@meesho.com</t>
  </si>
  <si>
    <t>HGS1</t>
  </si>
  <si>
    <t>Rajesh J</t>
  </si>
  <si>
    <t>P Rakesh</t>
  </si>
  <si>
    <t>pettem.rakesh@meesho.com</t>
  </si>
  <si>
    <t>Narra Rajesh</t>
  </si>
  <si>
    <t>narra.rajesh@meesho.com</t>
  </si>
  <si>
    <t>KLPS</t>
  </si>
  <si>
    <t>Dipak Korde</t>
  </si>
  <si>
    <t>dipak.korde@meesho.com</t>
  </si>
  <si>
    <t>Sanket Kolhe</t>
  </si>
  <si>
    <t>sanket.kolhe@meesho.com</t>
  </si>
  <si>
    <t>D15S</t>
  </si>
  <si>
    <t>Kanish</t>
  </si>
  <si>
    <t>Kanish@meesho.com</t>
  </si>
  <si>
    <t>krishna.pandey@meesho.com</t>
  </si>
  <si>
    <t>D16S</t>
  </si>
  <si>
    <t>Mayank Kumar</t>
  </si>
  <si>
    <t>mayank.kumar1@meesho.com</t>
  </si>
  <si>
    <t>Akhand Pratap Singh</t>
  </si>
  <si>
    <t>akhand.singh@meesho.com</t>
  </si>
  <si>
    <t>LKFS</t>
  </si>
  <si>
    <t>Ravi Shree Pathak</t>
  </si>
  <si>
    <t>ravi.pathak@meesho.com</t>
  </si>
  <si>
    <t>Lavkush tiwari</t>
  </si>
  <si>
    <t>lavkush.tiwari@meesho.com</t>
  </si>
  <si>
    <t>Nishant Ranjan Dubey</t>
  </si>
  <si>
    <t>nishant.dubey@meesho.com</t>
  </si>
  <si>
    <t>S12S</t>
  </si>
  <si>
    <t>Nitin patil</t>
  </si>
  <si>
    <t>nitin.patil@meesho.com</t>
  </si>
  <si>
    <t>uttekar.aditya@meesho.com</t>
  </si>
  <si>
    <t>BGUS</t>
  </si>
  <si>
    <t>Navin Kumar</t>
  </si>
  <si>
    <t>navin.kumar@meesho.com</t>
  </si>
  <si>
    <t>Mahaveer Kumawat</t>
  </si>
  <si>
    <t>mahaveer.kumawat@meesho.com</t>
  </si>
  <si>
    <t>Nikesh Kumar</t>
  </si>
  <si>
    <t>nikesh.singh@meesho.com</t>
  </si>
  <si>
    <t>ZPS</t>
  </si>
  <si>
    <t>Jatinderpreet Kaur</t>
  </si>
  <si>
    <t>jatinderpreet.kaur@meesho.com</t>
  </si>
  <si>
    <t>kamal</t>
  </si>
  <si>
    <t>kamal1@meesho.com</t>
  </si>
  <si>
    <t>JGS1</t>
  </si>
  <si>
    <t>KRISHAN KUMAR</t>
  </si>
  <si>
    <t>krishan.kumar1@meesho.com</t>
  </si>
  <si>
    <t>PTNS</t>
  </si>
  <si>
    <t>Aalok Kumar</t>
  </si>
  <si>
    <t>aalok.kumar@meesho.com</t>
  </si>
  <si>
    <t>Vikas Kumar</t>
  </si>
  <si>
    <t>vikas.kumar2@meesho.com</t>
  </si>
  <si>
    <t>Aman Kumar Mishra</t>
  </si>
  <si>
    <t>aman.mishra3@meesho.com</t>
  </si>
  <si>
    <t>IDRS</t>
  </si>
  <si>
    <t>Vijay Kumar Sharma</t>
  </si>
  <si>
    <t>vijay.sharma1@meesho.com</t>
  </si>
  <si>
    <t>Rajkumar Suryavanshi</t>
  </si>
  <si>
    <t>raj.kumar@meesho.com</t>
  </si>
  <si>
    <t>Roshan Asthiya</t>
  </si>
  <si>
    <t>Rohit chouhan</t>
  </si>
  <si>
    <t>rohit.chouhan@meesho.com</t>
  </si>
  <si>
    <t>VJWS</t>
  </si>
  <si>
    <t>Pranathi</t>
  </si>
  <si>
    <t>somula.pranathi@meesho.com</t>
  </si>
  <si>
    <t>Subhash</t>
  </si>
  <si>
    <t>subash.a@meesho.com</t>
  </si>
  <si>
    <t>MZPS</t>
  </si>
  <si>
    <t>Chunchun Kumar</t>
  </si>
  <si>
    <t>chunchun.kumar@meesho.com</t>
  </si>
  <si>
    <t>Yash raj</t>
  </si>
  <si>
    <t>yash.raj1@meesho.com</t>
  </si>
  <si>
    <t>Nishant Kumar</t>
  </si>
  <si>
    <t>nishant.kumar1@meesho.com</t>
  </si>
  <si>
    <t>MERS</t>
  </si>
  <si>
    <t>Lokesh Sharma</t>
  </si>
  <si>
    <t>lokesh.sharma1@meesho.com</t>
  </si>
  <si>
    <t>H2LS</t>
  </si>
  <si>
    <t>Dilip</t>
  </si>
  <si>
    <t>pilla.dilipkumar@meesho.com</t>
  </si>
  <si>
    <t>Venkat</t>
  </si>
  <si>
    <t>thumma.venkatesh@meesho.com</t>
  </si>
  <si>
    <t>RJKS</t>
  </si>
  <si>
    <t>Rahul Kumar Singh</t>
  </si>
  <si>
    <t>rahulkumar.singh@meesho.com</t>
  </si>
  <si>
    <t>IXRS</t>
  </si>
  <si>
    <t>Sushil Kumar Maharan</t>
  </si>
  <si>
    <t>sushil.maharana@meesho.com</t>
  </si>
  <si>
    <t>Sagar kumar</t>
  </si>
  <si>
    <t>Sagar.kumar@meesho.com</t>
  </si>
  <si>
    <t>D17S</t>
  </si>
  <si>
    <t>Rinku</t>
  </si>
  <si>
    <t>Rinku.Kumar@meesho.com</t>
  </si>
  <si>
    <t>Aslam Ali</t>
  </si>
  <si>
    <t>aslam@meesho.com</t>
  </si>
  <si>
    <t>D20S</t>
  </si>
  <si>
    <t>Vipin Kumar</t>
  </si>
  <si>
    <t>J6FS</t>
  </si>
  <si>
    <t>KAPIL GURJAR</t>
  </si>
  <si>
    <t>kapil.gurjar@meesho.com</t>
  </si>
  <si>
    <t>Sachin Dahiya</t>
  </si>
  <si>
    <t>sachin.dahiya@meesho.com</t>
  </si>
  <si>
    <t>J3LS</t>
  </si>
  <si>
    <t>Ravinder</t>
  </si>
  <si>
    <t>ravinder@meesho.com</t>
  </si>
  <si>
    <t>RAHUL KUMAR</t>
  </si>
  <si>
    <t>rahul.kumar9@meesho.com</t>
  </si>
  <si>
    <t>D14S</t>
  </si>
  <si>
    <t>Devraj</t>
  </si>
  <si>
    <t>devraj@meesho.com</t>
  </si>
  <si>
    <t>Pawan Kumar Tripathi</t>
  </si>
  <si>
    <t>pawan.tripathi@meesho.com</t>
  </si>
  <si>
    <t>M2LS</t>
  </si>
  <si>
    <t>Amit Jadhav</t>
  </si>
  <si>
    <t>amit.jadhav@meesho.com</t>
  </si>
  <si>
    <t>Rushikesh Jadhav</t>
  </si>
  <si>
    <t>rushikesh.jadhav@meesho.com</t>
  </si>
  <si>
    <t>D19S</t>
  </si>
  <si>
    <t>Mohit Sharma</t>
  </si>
  <si>
    <t>mohit.sharma@meesho.com</t>
  </si>
  <si>
    <t>Minakshi Pundir</t>
  </si>
  <si>
    <t>minakshi.pundir@meesho.com</t>
  </si>
  <si>
    <t>AG2S</t>
  </si>
  <si>
    <t>Sanjay Kumar</t>
  </si>
  <si>
    <t>sanjay.kumar1@meesho.com</t>
  </si>
  <si>
    <t>Lokendra singh</t>
  </si>
  <si>
    <t>lokendra.singh@meesho.com</t>
  </si>
  <si>
    <t>D4LS</t>
  </si>
  <si>
    <t>Ankit Singh</t>
  </si>
  <si>
    <t>ankit.singh2@meesho.com</t>
  </si>
  <si>
    <t>Hemant Kumar</t>
  </si>
  <si>
    <t>hemant.kumar@meesho.com</t>
  </si>
  <si>
    <t>D18S</t>
  </si>
  <si>
    <t>vipin.kumar@meesho.com</t>
  </si>
  <si>
    <t>Sarvan Pal</t>
  </si>
  <si>
    <t>sarvan@meesho.com</t>
  </si>
  <si>
    <t>S2LS</t>
  </si>
  <si>
    <t>Prodip Barman</t>
  </si>
  <si>
    <t>prodip.barman@meesho.com</t>
  </si>
  <si>
    <t>Sandeep Char</t>
  </si>
  <si>
    <t>sandeep.char@meesho.com</t>
  </si>
  <si>
    <t>K3FS</t>
  </si>
  <si>
    <t>Vicky Yadav</t>
  </si>
  <si>
    <t>vicky.yadav@meesho.com</t>
  </si>
  <si>
    <t>6294 048 402</t>
  </si>
  <si>
    <t>K3LS</t>
  </si>
  <si>
    <t>Kushal Sardar</t>
  </si>
  <si>
    <t>kushal.sardar@meesho.com</t>
  </si>
  <si>
    <t>Somenath Singh</t>
  </si>
  <si>
    <t>somenath.singh@meesho.com</t>
  </si>
  <si>
    <t>KGS1</t>
  </si>
  <si>
    <t>Sourav Purkait</t>
  </si>
  <si>
    <t>sourav.purkait@meesho.com</t>
  </si>
  <si>
    <t>Abhinaba Debnath</t>
  </si>
  <si>
    <t>abhinaba.debnath@meesho.com</t>
  </si>
  <si>
    <t>SAURAV KUMAR SINGH</t>
  </si>
  <si>
    <t>saurav.singh1@meesho.com</t>
  </si>
  <si>
    <t>BBNS</t>
  </si>
  <si>
    <t>pradip kumar bhoi</t>
  </si>
  <si>
    <t>pradip.bhoi@meesho.com</t>
  </si>
  <si>
    <t>Pramod Kumar Behera</t>
  </si>
  <si>
    <t>pramod.behera@meesho.com</t>
  </si>
  <si>
    <t>DGS3</t>
  </si>
  <si>
    <t>Rohit Bhati</t>
  </si>
  <si>
    <t>rohit.bhati@meesho.com</t>
  </si>
  <si>
    <t>rajat.sengar@meesho.com</t>
  </si>
  <si>
    <t>DGS4</t>
  </si>
  <si>
    <t>mohit.sharma1@meesho.com</t>
  </si>
  <si>
    <t>Chhatrapal Singh</t>
  </si>
  <si>
    <t>chhatrapal.singh@meesho.com</t>
  </si>
  <si>
    <t>BLFS</t>
  </si>
  <si>
    <t>Soumya Sudhakaran</t>
  </si>
  <si>
    <t>soumya.sudhakaran@meesho.com</t>
  </si>
  <si>
    <t>bindu.r@meesho.com</t>
  </si>
  <si>
    <t>Motiuddin khan</t>
  </si>
  <si>
    <t>Motiuddin.khan@meesho.com</t>
  </si>
  <si>
    <t>GWLS</t>
  </si>
  <si>
    <t>Ajay Thakur</t>
  </si>
  <si>
    <t>ajay.thakur@meesho.com</t>
  </si>
  <si>
    <t>S13S</t>
  </si>
  <si>
    <t>Triloachan</t>
  </si>
  <si>
    <t>trilochan@meesho.com</t>
  </si>
  <si>
    <t>PRGS</t>
  </si>
  <si>
    <t>Hemant</t>
  </si>
  <si>
    <t>hemant.singh@meesho.com</t>
  </si>
  <si>
    <t>Vimal Singh</t>
  </si>
  <si>
    <t>vimal.singh@meesho.com</t>
  </si>
  <si>
    <t>SGS3</t>
  </si>
  <si>
    <t>Arun shilpkar</t>
  </si>
  <si>
    <t>arun.shilpkar@meesho.com</t>
  </si>
  <si>
    <t>Praveen Rohilla</t>
  </si>
  <si>
    <t>VRNS</t>
  </si>
  <si>
    <t>Hari om</t>
  </si>
  <si>
    <t>hariom.singh@meesho.com</t>
  </si>
  <si>
    <t>Roshan</t>
  </si>
  <si>
    <t>roushan.kumar1@meesho.com</t>
  </si>
  <si>
    <t>D6LS</t>
  </si>
  <si>
    <t>SGS2</t>
  </si>
  <si>
    <t>Abhishek Padmane</t>
  </si>
  <si>
    <t>abhishek.padmane@meesho.com</t>
  </si>
  <si>
    <t>D5LS</t>
  </si>
  <si>
    <t>Chandan Rana</t>
  </si>
  <si>
    <t>chandan.rana@meesho.com</t>
  </si>
  <si>
    <t>Shivam Rajput</t>
  </si>
  <si>
    <t>Shivam.rajput1@meesho.com</t>
  </si>
  <si>
    <t>KDPS</t>
  </si>
  <si>
    <t>kuruba.ravi@meesho.com</t>
  </si>
  <si>
    <t>Malagowni.Goud@meesho.com</t>
  </si>
  <si>
    <t>P.Harish Kumar</t>
  </si>
  <si>
    <t>pokuri.kumar@meesho.com</t>
  </si>
  <si>
    <t>Bandi Sai Pramod</t>
  </si>
  <si>
    <t>bandi.pramod@meesho.com</t>
  </si>
  <si>
    <t>SULS</t>
  </si>
  <si>
    <t>Ojha Anuj Ajay</t>
  </si>
  <si>
    <t>ojha.ajay@meesho.com</t>
  </si>
  <si>
    <t>JGS2</t>
  </si>
  <si>
    <t>Shivraj Singh Shekhawat</t>
  </si>
  <si>
    <t>shivraj.shekhawat@meesho.com</t>
  </si>
  <si>
    <t>L3LS</t>
  </si>
  <si>
    <t>Utkarsh shukla</t>
  </si>
  <si>
    <t>utkarsh.shukla1@meesho.com</t>
  </si>
  <si>
    <t>Santosh Kumar</t>
  </si>
  <si>
    <t>santosh.kumar1@meesho.com</t>
  </si>
  <si>
    <t>BDRS</t>
  </si>
  <si>
    <t>Krishna</t>
  </si>
  <si>
    <t>krishna@meesho.com</t>
  </si>
  <si>
    <t>96866 49647</t>
  </si>
  <si>
    <t>shivanand.bannatti@meesho.com</t>
  </si>
  <si>
    <t>P3LS</t>
  </si>
  <si>
    <t>DGS5</t>
  </si>
  <si>
    <t>Mukul Goyal</t>
  </si>
  <si>
    <t>mukul.goyal@meesho.com</t>
  </si>
  <si>
    <t>Neeraj Sharma</t>
  </si>
  <si>
    <t>neeraj.sharma2@meesho.com</t>
  </si>
  <si>
    <t>S14S</t>
  </si>
  <si>
    <t>H4LS</t>
  </si>
  <si>
    <t>Praveen</t>
  </si>
  <si>
    <t>kolakaluri.praveen@meesho.com</t>
  </si>
  <si>
    <t>MOOLA SHIVA SHANKAR</t>
  </si>
  <si>
    <t>moola.shivashankar@meesho.com</t>
  </si>
  <si>
    <t>PNDS</t>
  </si>
  <si>
    <t>Dhinesh Ram</t>
  </si>
  <si>
    <t>dhinesh.j@meesho.com</t>
  </si>
  <si>
    <t>saravanaperumal.g@meesho.com</t>
  </si>
  <si>
    <t>DGS6</t>
  </si>
  <si>
    <t>Suraj</t>
  </si>
  <si>
    <t>Suraj.kumar3@meesho.com</t>
  </si>
  <si>
    <t>ashish.kumar7@meesho.com</t>
  </si>
  <si>
    <t>KOCS</t>
  </si>
  <si>
    <t>Karthik P</t>
  </si>
  <si>
    <t>karthik.p@meesho.com</t>
  </si>
  <si>
    <t>Biju kk</t>
  </si>
  <si>
    <t>biju.k@meesho.com</t>
  </si>
  <si>
    <t>S15S</t>
  </si>
  <si>
    <t>D13S</t>
  </si>
  <si>
    <t>Praveen Malhotra</t>
  </si>
  <si>
    <t>praveen.malhotra@meesho.com</t>
  </si>
  <si>
    <t>hari.om1@meesho.com</t>
  </si>
  <si>
    <t>CBTS</t>
  </si>
  <si>
    <t>Dhinakaran</t>
  </si>
  <si>
    <t>dhinakaran.ramesh@meesho.com</t>
  </si>
  <si>
    <t>Priyadharshini</t>
  </si>
  <si>
    <t>priyadharshini.j@meesho.com</t>
  </si>
  <si>
    <t>parthiban.p@meesho.com</t>
  </si>
  <si>
    <t>90035 90454</t>
  </si>
  <si>
    <t>BGS1</t>
  </si>
  <si>
    <t>Bibuthi Barik</t>
  </si>
  <si>
    <t>bibhuti.barik@meesho.com</t>
  </si>
  <si>
    <t>Ranjan Sahu</t>
  </si>
  <si>
    <t>ranjan@meesho.com</t>
  </si>
  <si>
    <t>ashok.rao@meesho.com</t>
  </si>
  <si>
    <t>LD4S</t>
  </si>
  <si>
    <t>kamaljeet kaur</t>
  </si>
  <si>
    <t>kamaljeet.kaur@meesho.com</t>
  </si>
  <si>
    <t>Raju Rav</t>
  </si>
  <si>
    <t>raju.rav@meesho.com</t>
  </si>
  <si>
    <t>81469 33996</t>
  </si>
  <si>
    <t>TSYS</t>
  </si>
  <si>
    <t>M2FS</t>
  </si>
  <si>
    <t>Nilesh Kshisagar</t>
  </si>
  <si>
    <t>nilesh.kshirsagar@meesho.com</t>
  </si>
  <si>
    <t>Sanket patl</t>
  </si>
  <si>
    <t>sanket.patil1@meesho.com</t>
  </si>
  <si>
    <t>DGS7</t>
  </si>
  <si>
    <t>Naveen Yadav</t>
  </si>
  <si>
    <t>naveen.yadav@meesho.com</t>
  </si>
  <si>
    <t>Shubham</t>
  </si>
  <si>
    <t>Shubham1@meesho.com</t>
  </si>
  <si>
    <t>D21S</t>
  </si>
  <si>
    <t>Ravi Karan</t>
  </si>
  <si>
    <t>ravi.karan@meesho.com</t>
  </si>
  <si>
    <t>Upendra Singh</t>
  </si>
  <si>
    <t>upendra.singh@meesho.com</t>
  </si>
  <si>
    <t>LGS1</t>
  </si>
  <si>
    <t>Lavkush Tiwari</t>
  </si>
  <si>
    <t>Lavkush.tiwari@meesho.com</t>
  </si>
  <si>
    <t>Nishant Dubey</t>
  </si>
  <si>
    <t>AGFS</t>
  </si>
  <si>
    <t>Sonu</t>
  </si>
  <si>
    <t>sonu.1@meesho.com</t>
  </si>
  <si>
    <t>SGS4</t>
  </si>
  <si>
    <t>Rahul Pandey</t>
  </si>
  <si>
    <t>pandey.santosh@meesho.com</t>
  </si>
  <si>
    <t>RAAS</t>
  </si>
  <si>
    <t>Kamal</t>
  </si>
  <si>
    <t>Arashdeep Singh</t>
  </si>
  <si>
    <t>arashdeep.singh@meesho.com</t>
  </si>
  <si>
    <t>PGS1</t>
  </si>
  <si>
    <t>Kalpesh Sagale</t>
  </si>
  <si>
    <t>NGS1</t>
  </si>
  <si>
    <t>Prakash Lonare</t>
  </si>
  <si>
    <t>prakash.lonare@meesho.com</t>
  </si>
  <si>
    <t>Eshant</t>
  </si>
  <si>
    <t>eshant.wasnik@meesho.com</t>
  </si>
  <si>
    <t>AGS1</t>
  </si>
  <si>
    <t>8160776092/9173700204</t>
  </si>
  <si>
    <t>BH1S</t>
  </si>
  <si>
    <t>Saurabh Kumar</t>
  </si>
  <si>
    <t>saurabhkumar.prashad@eesho.com</t>
  </si>
  <si>
    <t>Deeepak Sharma</t>
  </si>
  <si>
    <t>K4LS</t>
  </si>
  <si>
    <t>J7FS</t>
  </si>
  <si>
    <t>INDS</t>
  </si>
  <si>
    <t>Rajkumar yadav</t>
  </si>
  <si>
    <t>Abhiyuddh Soni</t>
  </si>
  <si>
    <t>Vikas Chauhan</t>
  </si>
  <si>
    <t>vikas.chouhan@meesho.com</t>
  </si>
  <si>
    <t>BWLS</t>
  </si>
  <si>
    <t>Satheesh Venkatesh</t>
  </si>
  <si>
    <t>Dhana Lakshmi</t>
  </si>
  <si>
    <t>Seshadhri</t>
  </si>
  <si>
    <t>Sr. No.</t>
  </si>
  <si>
    <t>Catogery</t>
  </si>
  <si>
    <t>Key Responsibility (KR)</t>
  </si>
  <si>
    <t>KR Discriptions</t>
  </si>
  <si>
    <t>Frequency</t>
  </si>
  <si>
    <t>Weightage</t>
  </si>
  <si>
    <t>Metrics</t>
  </si>
  <si>
    <t>Sort Center</t>
  </si>
  <si>
    <t>SC Vol. &amp; Manpower</t>
  </si>
  <si>
    <t xml:space="preserve">
1. Flaging up if any manpower deep or over/lower attainment of vol.
2. Sharing fortnighlty Vol. projection with partner and alignement.
</t>
  </si>
  <si>
    <t>Daily</t>
  </si>
  <si>
    <t>No Esclation</t>
  </si>
  <si>
    <t>SC Inbound and landing</t>
  </si>
  <si>
    <t>2. NLH TAT validation and landing profile.</t>
  </si>
  <si>
    <t>As on when some changes happeing.</t>
  </si>
  <si>
    <t>SC DoD Operation and Losses reduction</t>
  </si>
  <si>
    <t>1. Working with SC partner for efficient Operation.
2. Ageing control and IRT, label and other exception handling.
3. At facility hardstop losses reduction.
4. COD timely RTO marking and clerance.
5. Daily internal review call participation.
6. Tracker validation and timely update. Internal review, Daily node comliance RCA, Attempt Compliance NLH &amp; At facility breach RCA .</t>
  </si>
  <si>
    <t>1. Node Complaince - &gt; 95%.
2. Bagging Compliance - &gt; 98%
3. At facility losses - &lt; 100 PPM
4. COD &gt; 4 days - ZERO
5. SC Attempt Compliance : &gt;1%</t>
  </si>
  <si>
    <t>IB Pendency &amp; Clerance</t>
  </si>
  <si>
    <t>1. End to end RCA and control on "at facility" , "Shortage marked" and IB Intransit IB pendency.
2. Recon and pendency closure with upstream nodes on shortage and Intransit pendency.
3. IB Losses reduction and visibility.</t>
  </si>
  <si>
    <t>1. Shortage marked Unresolved : 0.001%.
2. IB Intransit losses : 100 PPM
3. NLH landing performance : &gt; 80%
4. At facility losses : &lt; 100 PPM</t>
  </si>
  <si>
    <t>Transportation</t>
  </si>
  <si>
    <t>OB Pendency &amp; Clerance</t>
  </si>
  <si>
    <t>1. End to end control and updates on "OB Intransit" and "Shortage assigned" pendency.
2. Recon and pendecy closure with down stream nodes.
3. Shortage assigned and OB Intransit losses reduction and visibility.</t>
  </si>
  <si>
    <t>1. Shortage assigned Unresolved : 0.001%.
2. OB Intransit losses : 100 PPM</t>
  </si>
  <si>
    <t>RLH Design and Utilisation</t>
  </si>
  <si>
    <t xml:space="preserve">1. Maintain the Optimal design coverage of the facility
2. Identify and control RLH design deviation, lower/higher utilisation routes fix it.
</t>
  </si>
  <si>
    <t>When design falls below 95%</t>
  </si>
  <si>
    <t>1. Design Coverage : &gt; 95%
2. No escaltion.</t>
  </si>
  <si>
    <t>RLH Operation and vendors management</t>
  </si>
  <si>
    <t>1. E2E vendor performance management.
2. Route allocation and reduction as per the busssiness requirements.
2. Fixing the Open issues like on-time trip rceipt, POD receipt etc
3. Daily, weekly and Monthly performance visibility.
4. Updating Finance/RLH tracker on D+1.
5. Daily internal review call participation.
6. Validation and timely update of all the trackers like Internal review tracker,vendors input trackers and attempt compliance RLH breaches RCA.</t>
  </si>
  <si>
    <t>1. RLH Attempt Complaince : &lt; 5%
2. Vendor placement and delivery performance : &gt; 95%
3. Finance tracker update : D+1
4. Tracker update completion : D+1</t>
  </si>
  <si>
    <t>RLH Cost Control, vendor staboility and Competition</t>
  </si>
  <si>
    <t xml:space="preserve">1. Keeping a track on vehciles utilisation and initiating actions to ensure the maximum utilisation.
2. Vendor wise monthly CPS visibility and Cost reduction initiatives, Starting floating route's.
</t>
  </si>
  <si>
    <t>Daily &amp; Monthly</t>
  </si>
  <si>
    <t>1. No over/lower utilisation callout.
2. CPS target : &lt; 4 INR</t>
  </si>
  <si>
    <t>Sort Codes Management &amp; Facility layout</t>
  </si>
  <si>
    <t>Sort Code creation and load balancing.</t>
  </si>
  <si>
    <t>1. Cut off/route wise sort code creation needs to be shared within 24 hrs of tagging, if complete information available in the tracker.
2. Stationwise vol balancing and route mapping.
3. Zone to Grid mapping.
4. Maintain the stardard facility laypout and control.</t>
  </si>
  <si>
    <t>Within 24hrs of request.</t>
  </si>
  <si>
    <t xml:space="preserve">1. Sort code pending should be Zero on &gt; 2 days.
2. Uniform load distribution across all the sorting zones.
3. Zone to Grid mapping accuracy should be &gt; 100%
4. No deviation on standard faciltiy layout and design.
</t>
  </si>
  <si>
    <t>Consumables</t>
  </si>
  <si>
    <t>Consumables availability and replenishment and distribution</t>
  </si>
  <si>
    <t>1. Track the consumables Inventrory and fullfillment.
2. Ensuring no inventory shortfall.</t>
  </si>
  <si>
    <t xml:space="preserve">1. Zero shortfall of the consumables Inventory.
2. Consumables daily tracker update.
</t>
  </si>
  <si>
    <t>Scrap Management</t>
  </si>
  <si>
    <t>End to End Scrap Management</t>
  </si>
  <si>
    <t>1. Regular check of sracp generation (Damage bags, used tags, used bolt seal, corrigated boxes and Lost/damaged, Delivered/duplicate) and plan liqudation.
2. Vendor billing and payment tracking.</t>
  </si>
  <si>
    <t>Weekly</t>
  </si>
  <si>
    <t>1. No accumlation of scraps at the facility.
2. Scrap disposal timely tracker update, Invoice creation and payment closure.
3. In case of Damaged/Duplicate shipment dispoal advanced Delivery Challan creation.</t>
  </si>
  <si>
    <t>Excellence Drive</t>
  </si>
  <si>
    <t>Process Improvements</t>
  </si>
  <si>
    <t>1. Improvement initiatives, Kaizens Submission and new new idea for the system excellence.</t>
  </si>
  <si>
    <t>In general</t>
  </si>
  <si>
    <t>Montly kaizen/Improvement idea submisson : 1</t>
  </si>
  <si>
    <t>Sort Center &amp; Other</t>
  </si>
  <si>
    <t>Transport &amp; Other</t>
  </si>
  <si>
    <t xml:space="preserve">Name </t>
  </si>
  <si>
    <t xml:space="preserve">Mail ID </t>
  </si>
  <si>
    <t>Mobile Number</t>
  </si>
  <si>
    <t>Area Manager</t>
  </si>
  <si>
    <t>Deepraj</t>
  </si>
  <si>
    <t>Pagolu</t>
  </si>
  <si>
    <t>Prashant</t>
  </si>
  <si>
    <t>Bikash</t>
  </si>
  <si>
    <t>Malagowri</t>
  </si>
  <si>
    <t>Bindu</t>
  </si>
  <si>
    <t>Shivanand</t>
  </si>
  <si>
    <t>Saravanaperumal</t>
  </si>
  <si>
    <t>Sharad</t>
  </si>
  <si>
    <t>Manoj</t>
  </si>
  <si>
    <t>Ashok</t>
  </si>
  <si>
    <t>Designation</t>
  </si>
  <si>
    <t>Password</t>
  </si>
  <si>
    <t>Mohammed Gubaidullah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</si>
</sst>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9"/>
      <color theme="1"/>
      <name val="Lexend"/>
    </font>
    <font>
      <sz val="10"/>
      <color theme="1"/>
      <name val="Arial"/>
      <family val="2"/>
    </font>
    <font>
      <sz val="9"/>
      <color theme="1"/>
      <name val="Lexend"/>
    </font>
    <font>
      <sz val="9"/>
      <color rgb="FF3C4043"/>
      <name val="Lexend"/>
    </font>
    <font>
      <u/>
      <sz val="9"/>
      <color rgb="FF1155CC"/>
      <name val="Lexend"/>
    </font>
    <font>
      <sz val="9"/>
      <color rgb="FF444746"/>
      <name val="Lexend"/>
    </font>
    <font>
      <sz val="9"/>
      <color rgb="FF202124"/>
      <name val="Lexend"/>
    </font>
    <font>
      <sz val="9"/>
      <color rgb="FF5E5E5E"/>
      <name val="Lexend"/>
    </font>
    <font>
      <b/>
      <sz val="9"/>
      <color rgb="FF434343"/>
      <name val="Lexend"/>
    </font>
    <font>
      <sz val="9"/>
      <color rgb="FF222222"/>
      <name val="Lexend"/>
    </font>
    <font>
      <sz val="9"/>
      <color theme="1"/>
      <name val="Arial"/>
      <family val="2"/>
    </font>
    <font>
      <sz val="9"/>
      <color rgb="FF393939"/>
      <name val="Lexend"/>
    </font>
    <font>
      <sz val="9"/>
      <color rgb="FF1155CC"/>
      <name val="Lexend"/>
    </font>
    <font>
      <u/>
      <sz val="11"/>
      <color theme="10"/>
      <name val="Aptos Narrow"/>
      <family val="2"/>
      <scheme val="minor"/>
    </font>
    <font>
      <b/>
      <sz val="10"/>
      <color theme="1"/>
      <name val="Arial"/>
      <family val="2"/>
    </font>
    <font>
      <i/>
      <sz val="10"/>
      <color theme="1"/>
      <name val="Arial"/>
      <family val="2"/>
    </font>
    <font>
      <sz val="9"/>
      <color theme="1"/>
      <name val="Aptos Narrow"/>
      <family val="2"/>
      <scheme val="minor"/>
    </font>
    <font>
      <u/>
      <sz val="9"/>
      <color theme="10"/>
      <name val="Aptos Narrow"/>
      <family val="2"/>
      <scheme val="minor"/>
    </font>
    <font>
      <b/>
      <sz val="9"/>
      <color theme="1"/>
      <name val="Aptos Narrow"/>
      <family val="2"/>
      <scheme val="minor"/>
    </font>
    <font>
      <sz val="9"/>
      <color rgb="FF202124"/>
      <name val="Aptos Narrow"/>
      <family val="2"/>
      <scheme val="minor"/>
    </font>
    <font>
      <sz val="9"/>
      <color rgb="FF3C4043"/>
      <name val="Aptos Narrow"/>
      <family val="2"/>
      <scheme val="minor"/>
    </font>
    <font>
      <sz val="9"/>
      <color rgb="FF444746"/>
      <name val="Aptos Narrow"/>
      <family val="2"/>
      <scheme val="minor"/>
    </font>
    <font>
      <sz val="9"/>
      <color rgb="FF222222"/>
      <name val="Aptos Narrow"/>
      <family val="2"/>
      <scheme val="minor"/>
    </font>
    <font>
      <sz val="9"/>
      <color rgb="FF1155CC"/>
      <name val="Aptos Narrow"/>
      <family val="2"/>
      <scheme val="minor"/>
    </font>
    <font>
      <u/>
      <sz val="9"/>
      <color rgb="FF1155CC"/>
      <name val="Aptos Narrow"/>
      <family val="2"/>
      <scheme val="minor"/>
    </font>
    <font>
      <sz val="9"/>
      <color rgb="FF393939"/>
      <name val="Aptos Narrow"/>
      <family val="2"/>
      <scheme val="minor"/>
    </font>
    <font>
      <sz val="9"/>
      <color rgb="FF5E5E5E"/>
      <name val="Aptos Narrow"/>
      <family val="2"/>
      <scheme val="minor"/>
    </font>
    <font>
      <sz val="9"/>
      <color rgb="FF434343"/>
      <name val="Aptos Narrow"/>
      <family val="2"/>
      <scheme val="minor"/>
    </font>
  </fonts>
  <fills count="13">
    <fill>
      <patternFill patternType="none"/>
    </fill>
    <fill>
      <patternFill patternType="gray125"/>
    </fill>
    <fill>
      <patternFill patternType="solid">
        <fgColor rgb="FFCFE2F3"/>
        <bgColor indexed="64"/>
      </patternFill>
    </fill>
    <fill>
      <patternFill patternType="solid">
        <fgColor rgb="FFFFFFFF"/>
        <bgColor indexed="64"/>
      </patternFill>
    </fill>
    <fill>
      <patternFill patternType="solid">
        <fgColor rgb="FFEAD1DC"/>
        <bgColor indexed="64"/>
      </patternFill>
    </fill>
    <fill>
      <patternFill patternType="solid">
        <fgColor rgb="FFEA9999"/>
        <bgColor indexed="64"/>
      </patternFill>
    </fill>
    <fill>
      <patternFill patternType="solid">
        <fgColor rgb="FFF1F3F4"/>
        <bgColor indexed="64"/>
      </patternFill>
    </fill>
    <fill>
      <patternFill patternType="solid">
        <fgColor rgb="FFF0F4F9"/>
        <bgColor indexed="64"/>
      </patternFill>
    </fill>
    <fill>
      <patternFill patternType="solid">
        <fgColor rgb="FFF3F3F3"/>
        <bgColor indexed="64"/>
      </patternFill>
    </fill>
    <fill>
      <patternFill patternType="solid">
        <fgColor rgb="FF00FF00"/>
        <bgColor indexed="64"/>
      </patternFill>
    </fill>
    <fill>
      <patternFill patternType="solid">
        <fgColor rgb="FFFF9900"/>
        <bgColor indexed="64"/>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6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4" xfId="0" applyFont="1" applyBorder="1" applyAlignment="1">
      <alignment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2" fillId="5" borderId="4" xfId="0" applyFont="1" applyFill="1" applyBorder="1" applyAlignment="1">
      <alignment vertical="center" wrapText="1"/>
    </xf>
    <xf numFmtId="0" fontId="14" fillId="0" borderId="4" xfId="1" applyBorder="1" applyAlignment="1">
      <alignment horizontal="center" vertical="center" wrapText="1"/>
    </xf>
    <xf numFmtId="0" fontId="2" fillId="0" borderId="5" xfId="0" applyFont="1" applyBorder="1" applyAlignment="1">
      <alignment vertical="center" wrapText="1"/>
    </xf>
    <xf numFmtId="0" fontId="6" fillId="0" borderId="4" xfId="0" applyFont="1" applyBorder="1" applyAlignment="1">
      <alignment horizontal="center" vertical="center" wrapText="1"/>
    </xf>
    <xf numFmtId="0" fontId="7" fillId="6"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8"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10" fillId="3"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2" fillId="3" borderId="4" xfId="0" applyFont="1" applyFill="1" applyBorder="1" applyAlignment="1">
      <alignment vertical="center" wrapText="1"/>
    </xf>
    <xf numFmtId="0" fontId="12" fillId="3"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5" fillId="0" borderId="4" xfId="0" applyFont="1" applyBorder="1" applyAlignment="1">
      <alignment horizontal="center" vertical="center" wrapText="1"/>
    </xf>
    <xf numFmtId="0" fontId="14" fillId="5" borderId="4" xfId="1" applyFill="1" applyBorder="1" applyAlignment="1">
      <alignment horizontal="center" vertical="center" wrapText="1"/>
    </xf>
    <xf numFmtId="0" fontId="3" fillId="0" borderId="5" xfId="0" applyFont="1" applyBorder="1" applyAlignment="1">
      <alignment horizontal="center" vertical="center" wrapText="1"/>
    </xf>
    <xf numFmtId="0" fontId="2" fillId="0" borderId="3" xfId="0" applyFont="1" applyBorder="1" applyAlignment="1">
      <alignment vertical="center" wrapText="1"/>
    </xf>
    <xf numFmtId="0" fontId="3" fillId="0" borderId="6" xfId="0" applyFont="1" applyBorder="1" applyAlignment="1">
      <alignment horizontal="center" vertical="center" wrapText="1"/>
    </xf>
    <xf numFmtId="0" fontId="15" fillId="10" borderId="1"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10" borderId="2" xfId="0" applyFont="1" applyFill="1" applyBorder="1" applyAlignment="1">
      <alignment horizont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9" fontId="2" fillId="0" borderId="4" xfId="0" applyNumberFormat="1" applyFont="1" applyBorder="1" applyAlignment="1">
      <alignment horizontal="center" vertical="center" wrapText="1"/>
    </xf>
    <xf numFmtId="0" fontId="2" fillId="0" borderId="7"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16" fillId="0" borderId="4" xfId="0" applyFont="1" applyBorder="1" applyAlignment="1">
      <alignment horizontal="center" wrapText="1"/>
    </xf>
    <xf numFmtId="9" fontId="16" fillId="0" borderId="4" xfId="0" applyNumberFormat="1" applyFont="1" applyBorder="1" applyAlignment="1">
      <alignment horizont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7" fillId="0" borderId="0" xfId="0" applyFont="1"/>
    <xf numFmtId="0" fontId="19" fillId="12" borderId="11" xfId="0" applyFont="1" applyFill="1" applyBorder="1" applyAlignment="1">
      <alignment horizontal="left" vertical="center" wrapText="1"/>
    </xf>
    <xf numFmtId="0" fontId="17" fillId="11" borderId="11" xfId="0" applyFont="1" applyFill="1" applyBorder="1" applyAlignment="1">
      <alignment horizontal="left" vertical="center" wrapText="1"/>
    </xf>
    <xf numFmtId="0" fontId="20" fillId="11" borderId="11" xfId="0" applyFont="1" applyFill="1" applyBorder="1" applyAlignment="1">
      <alignment horizontal="left" vertical="center" wrapText="1"/>
    </xf>
    <xf numFmtId="0" fontId="28" fillId="11" borderId="11" xfId="0" applyFont="1" applyFill="1" applyBorder="1" applyAlignment="1">
      <alignment horizontal="left" vertical="center" wrapText="1"/>
    </xf>
    <xf numFmtId="0" fontId="21" fillId="11" borderId="11" xfId="0" applyFont="1" applyFill="1" applyBorder="1" applyAlignment="1">
      <alignment horizontal="left" vertical="center" wrapText="1"/>
    </xf>
    <xf numFmtId="0" fontId="18" fillId="11" borderId="11" xfId="1" applyFont="1" applyFill="1" applyBorder="1" applyAlignment="1">
      <alignment horizontal="left" vertical="center" wrapText="1"/>
    </xf>
    <xf numFmtId="0" fontId="22" fillId="11" borderId="11" xfId="0" applyFont="1" applyFill="1" applyBorder="1" applyAlignment="1">
      <alignment horizontal="left" vertical="center" wrapText="1"/>
    </xf>
    <xf numFmtId="0" fontId="23" fillId="11" borderId="11" xfId="0" applyFont="1" applyFill="1" applyBorder="1" applyAlignment="1">
      <alignment horizontal="left" vertical="center" wrapText="1"/>
    </xf>
    <xf numFmtId="0" fontId="24" fillId="11" borderId="11" xfId="0" applyFont="1" applyFill="1" applyBorder="1" applyAlignment="1">
      <alignment horizontal="left" vertical="center" wrapText="1"/>
    </xf>
    <xf numFmtId="0" fontId="25" fillId="11" borderId="11" xfId="0" applyFont="1" applyFill="1" applyBorder="1" applyAlignment="1">
      <alignment horizontal="left" vertical="center" wrapText="1"/>
    </xf>
    <xf numFmtId="0" fontId="26" fillId="11" borderId="11" xfId="0" applyFont="1" applyFill="1" applyBorder="1" applyAlignment="1">
      <alignment horizontal="left" vertical="center" wrapText="1"/>
    </xf>
    <xf numFmtId="0" fontId="27" fillId="11" borderId="11" xfId="0" applyFont="1" applyFill="1" applyBorder="1" applyAlignment="1">
      <alignment horizontal="left" vertical="center" wrapText="1"/>
    </xf>
    <xf numFmtId="0" fontId="17"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sonu.yadav@meesho.com" TargetMode="External"/><Relationship Id="rId2" Type="http://schemas.openxmlformats.org/officeDocument/2006/relationships/hyperlink" Target="mailto:arvind.yadav@meesho.com" TargetMode="External"/><Relationship Id="rId1" Type="http://schemas.openxmlformats.org/officeDocument/2006/relationships/hyperlink" Target="mailto:sombir@meesho.com" TargetMode="External"/><Relationship Id="rId5" Type="http://schemas.openxmlformats.org/officeDocument/2006/relationships/hyperlink" Target="mailto:mukul.goyal@meesho.com" TargetMode="External"/><Relationship Id="rId4" Type="http://schemas.openxmlformats.org/officeDocument/2006/relationships/hyperlink" Target="mailto:pradip.bhoi@meesho.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ukul.goyal@meesho.com" TargetMode="External"/><Relationship Id="rId2" Type="http://schemas.openxmlformats.org/officeDocument/2006/relationships/hyperlink" Target="mailto:pradip.bhoi@meesho.com" TargetMode="External"/><Relationship Id="rId1" Type="http://schemas.openxmlformats.org/officeDocument/2006/relationships/hyperlink" Target="mailto:sombir@meesho.com" TargetMode="External"/><Relationship Id="rId5" Type="http://schemas.openxmlformats.org/officeDocument/2006/relationships/hyperlink" Target="mailto:sonu.yadav@meesho.com" TargetMode="External"/><Relationship Id="rId4" Type="http://schemas.openxmlformats.org/officeDocument/2006/relationships/hyperlink" Target="mailto:arvind.yadav@meesh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914C-B191-407E-AD12-87B0E0F25A87}">
  <dimension ref="A1:G997"/>
  <sheetViews>
    <sheetView tabSelected="1" topLeftCell="B1" workbookViewId="0">
      <selection activeCell="C6" sqref="C6"/>
    </sheetView>
  </sheetViews>
  <sheetFormatPr defaultColWidth="60.453125" defaultRowHeight="14.5"/>
  <cols>
    <col min="1" max="1" width="6.7265625" bestFit="1" customWidth="1"/>
    <col min="2" max="2" width="34.453125" bestFit="1" customWidth="1"/>
    <col min="3" max="3" width="48.54296875" bestFit="1" customWidth="1"/>
    <col min="4" max="4" width="60.08984375" bestFit="1" customWidth="1"/>
    <col min="5" max="5" width="30.90625" bestFit="1" customWidth="1"/>
    <col min="6" max="6" width="9.90625" bestFit="1" customWidth="1"/>
    <col min="7" max="7" width="57.453125" bestFit="1" customWidth="1"/>
  </cols>
  <sheetData>
    <row r="1" spans="1:7" ht="15" thickBot="1">
      <c r="A1" s="40" t="s">
        <v>956</v>
      </c>
      <c r="B1" s="41" t="s">
        <v>957</v>
      </c>
      <c r="C1" s="41" t="s">
        <v>958</v>
      </c>
      <c r="D1" s="42" t="s">
        <v>959</v>
      </c>
      <c r="E1" s="41" t="s">
        <v>960</v>
      </c>
      <c r="F1" s="41" t="s">
        <v>961</v>
      </c>
      <c r="G1" s="41" t="s">
        <v>962</v>
      </c>
    </row>
    <row r="2" spans="1:7" ht="50.5" thickBot="1">
      <c r="A2" s="43">
        <v>1</v>
      </c>
      <c r="B2" s="51" t="s">
        <v>963</v>
      </c>
      <c r="C2" s="44" t="s">
        <v>964</v>
      </c>
      <c r="D2" s="6" t="s">
        <v>965</v>
      </c>
      <c r="E2" s="44" t="s">
        <v>966</v>
      </c>
      <c r="F2" s="45">
        <v>0.05</v>
      </c>
      <c r="G2" s="6" t="s">
        <v>967</v>
      </c>
    </row>
    <row r="3" spans="1:7" ht="15" thickBot="1">
      <c r="A3" s="43">
        <v>2</v>
      </c>
      <c r="B3" s="52"/>
      <c r="C3" s="44" t="s">
        <v>968</v>
      </c>
      <c r="D3" s="6" t="s">
        <v>969</v>
      </c>
      <c r="E3" s="44" t="s">
        <v>970</v>
      </c>
      <c r="F3" s="45">
        <v>0.05</v>
      </c>
      <c r="G3" s="6" t="s">
        <v>967</v>
      </c>
    </row>
    <row r="4" spans="1:7" ht="88" thickBot="1">
      <c r="A4" s="43">
        <v>3</v>
      </c>
      <c r="B4" s="52"/>
      <c r="C4" s="44" t="s">
        <v>971</v>
      </c>
      <c r="D4" s="6" t="s">
        <v>972</v>
      </c>
      <c r="E4" s="44" t="s">
        <v>966</v>
      </c>
      <c r="F4" s="45">
        <v>0.4</v>
      </c>
      <c r="G4" s="6" t="s">
        <v>973</v>
      </c>
    </row>
    <row r="5" spans="1:7" ht="63" thickBot="1">
      <c r="A5" s="43">
        <v>4</v>
      </c>
      <c r="B5" s="53"/>
      <c r="C5" s="44" t="s">
        <v>974</v>
      </c>
      <c r="D5" s="6" t="s">
        <v>975</v>
      </c>
      <c r="E5" s="44" t="s">
        <v>966</v>
      </c>
      <c r="F5" s="45">
        <v>0.2</v>
      </c>
      <c r="G5" s="6" t="s">
        <v>976</v>
      </c>
    </row>
    <row r="6" spans="1:7" ht="50.5" thickBot="1">
      <c r="A6" s="43">
        <v>5</v>
      </c>
      <c r="B6" s="51" t="s">
        <v>977</v>
      </c>
      <c r="C6" s="44" t="s">
        <v>978</v>
      </c>
      <c r="D6" s="6" t="s">
        <v>979</v>
      </c>
      <c r="E6" s="44" t="s">
        <v>966</v>
      </c>
      <c r="F6" s="45">
        <v>0.2</v>
      </c>
      <c r="G6" s="6" t="s">
        <v>980</v>
      </c>
    </row>
    <row r="7" spans="1:7" ht="50.5" thickBot="1">
      <c r="A7" s="43">
        <v>6</v>
      </c>
      <c r="B7" s="52"/>
      <c r="C7" s="44" t="s">
        <v>981</v>
      </c>
      <c r="D7" s="6" t="s">
        <v>982</v>
      </c>
      <c r="E7" s="44" t="s">
        <v>983</v>
      </c>
      <c r="F7" s="45">
        <v>0.05</v>
      </c>
      <c r="G7" s="6" t="s">
        <v>984</v>
      </c>
    </row>
    <row r="8" spans="1:7" ht="113" thickBot="1">
      <c r="A8" s="43">
        <v>7</v>
      </c>
      <c r="B8" s="52"/>
      <c r="C8" s="44" t="s">
        <v>985</v>
      </c>
      <c r="D8" s="6" t="s">
        <v>986</v>
      </c>
      <c r="E8" s="44" t="s">
        <v>966</v>
      </c>
      <c r="F8" s="45">
        <v>0.4</v>
      </c>
      <c r="G8" s="6" t="s">
        <v>987</v>
      </c>
    </row>
    <row r="9" spans="1:7" ht="75.5" thickBot="1">
      <c r="A9" s="43">
        <v>8</v>
      </c>
      <c r="B9" s="53"/>
      <c r="C9" s="44" t="s">
        <v>988</v>
      </c>
      <c r="D9" s="6" t="s">
        <v>989</v>
      </c>
      <c r="E9" s="44" t="s">
        <v>990</v>
      </c>
      <c r="F9" s="45">
        <v>0.05</v>
      </c>
      <c r="G9" s="6" t="s">
        <v>991</v>
      </c>
    </row>
    <row r="10" spans="1:7" ht="63" thickBot="1">
      <c r="A10" s="43">
        <v>9</v>
      </c>
      <c r="B10" s="44" t="s">
        <v>992</v>
      </c>
      <c r="C10" s="44" t="s">
        <v>993</v>
      </c>
      <c r="D10" s="6" t="s">
        <v>994</v>
      </c>
      <c r="E10" s="44" t="s">
        <v>995</v>
      </c>
      <c r="F10" s="45">
        <v>0.15</v>
      </c>
      <c r="G10" s="6" t="s">
        <v>996</v>
      </c>
    </row>
    <row r="11" spans="1:7" ht="38" thickBot="1">
      <c r="A11" s="43">
        <v>10</v>
      </c>
      <c r="B11" s="44" t="s">
        <v>997</v>
      </c>
      <c r="C11" s="44" t="s">
        <v>998</v>
      </c>
      <c r="D11" s="6" t="s">
        <v>999</v>
      </c>
      <c r="E11" s="44" t="s">
        <v>966</v>
      </c>
      <c r="F11" s="45">
        <v>0.05</v>
      </c>
      <c r="G11" s="6" t="s">
        <v>1000</v>
      </c>
    </row>
    <row r="12" spans="1:7" ht="63" thickBot="1">
      <c r="A12" s="43">
        <v>11</v>
      </c>
      <c r="B12" s="44" t="s">
        <v>1001</v>
      </c>
      <c r="C12" s="44" t="s">
        <v>1002</v>
      </c>
      <c r="D12" s="6" t="s">
        <v>1003</v>
      </c>
      <c r="E12" s="44" t="s">
        <v>1004</v>
      </c>
      <c r="F12" s="45">
        <v>0.05</v>
      </c>
      <c r="G12" s="6" t="s">
        <v>1005</v>
      </c>
    </row>
    <row r="13" spans="1:7" ht="25.5" thickBot="1">
      <c r="A13" s="43">
        <v>12</v>
      </c>
      <c r="B13" s="44" t="s">
        <v>1006</v>
      </c>
      <c r="C13" s="44" t="s">
        <v>1007</v>
      </c>
      <c r="D13" s="6" t="s">
        <v>1008</v>
      </c>
      <c r="E13" s="44" t="s">
        <v>1009</v>
      </c>
      <c r="F13" s="45">
        <v>0.1</v>
      </c>
      <c r="G13" s="6" t="s">
        <v>1010</v>
      </c>
    </row>
    <row r="14" spans="1:7" ht="15" thickBot="1">
      <c r="A14" s="46"/>
      <c r="B14" s="46"/>
      <c r="C14" s="46"/>
      <c r="D14" s="46"/>
      <c r="E14" s="46"/>
      <c r="F14" s="46"/>
      <c r="G14" s="46"/>
    </row>
    <row r="15" spans="1:7" ht="15" thickBot="1">
      <c r="A15" s="46"/>
      <c r="B15" s="46"/>
      <c r="C15" s="46"/>
      <c r="D15" s="46"/>
      <c r="E15" s="47"/>
      <c r="F15" s="47"/>
      <c r="G15" s="46"/>
    </row>
    <row r="16" spans="1:7" ht="15" thickBot="1">
      <c r="A16" s="46"/>
      <c r="B16" s="46"/>
      <c r="C16" s="46"/>
      <c r="D16" s="48"/>
      <c r="E16" s="49" t="s">
        <v>1011</v>
      </c>
      <c r="F16" s="50">
        <v>1</v>
      </c>
      <c r="G16" s="46"/>
    </row>
    <row r="17" spans="1:7" ht="15" thickBot="1">
      <c r="A17" s="46"/>
      <c r="B17" s="46"/>
      <c r="C17" s="46"/>
      <c r="D17" s="48"/>
      <c r="E17" s="49" t="s">
        <v>1012</v>
      </c>
      <c r="F17" s="50">
        <v>1</v>
      </c>
      <c r="G17" s="46"/>
    </row>
    <row r="18" spans="1:7" ht="15" thickBot="1">
      <c r="A18" s="46"/>
      <c r="B18" s="46"/>
      <c r="C18" s="46"/>
      <c r="D18" s="46"/>
      <c r="E18" s="46"/>
      <c r="F18" s="46"/>
      <c r="G18" s="46"/>
    </row>
    <row r="19" spans="1:7" ht="15" thickBot="1">
      <c r="A19" s="46"/>
      <c r="B19" s="46"/>
      <c r="C19" s="46"/>
      <c r="D19" s="46"/>
      <c r="E19" s="46"/>
      <c r="F19" s="46"/>
      <c r="G19" s="46"/>
    </row>
    <row r="20" spans="1:7" ht="15" thickBot="1">
      <c r="A20" s="46"/>
      <c r="B20" s="46"/>
      <c r="C20" s="46"/>
      <c r="D20" s="46"/>
      <c r="E20" s="46"/>
      <c r="F20" s="46"/>
      <c r="G20" s="46"/>
    </row>
    <row r="21" spans="1:7" ht="15" thickBot="1">
      <c r="A21" s="46"/>
      <c r="B21" s="46"/>
      <c r="C21" s="46"/>
      <c r="D21" s="46"/>
      <c r="E21" s="46"/>
      <c r="F21" s="46"/>
      <c r="G21" s="46"/>
    </row>
    <row r="22" spans="1:7" ht="15" thickBot="1">
      <c r="A22" s="46"/>
      <c r="B22" s="46"/>
      <c r="C22" s="46"/>
      <c r="D22" s="46"/>
      <c r="E22" s="46"/>
      <c r="F22" s="46"/>
      <c r="G22" s="46"/>
    </row>
    <row r="23" spans="1:7" ht="15" thickBot="1">
      <c r="A23" s="46"/>
      <c r="B23" s="46"/>
      <c r="C23" s="46"/>
      <c r="D23" s="46"/>
      <c r="E23" s="46"/>
      <c r="F23" s="46"/>
      <c r="G23" s="46"/>
    </row>
    <row r="24" spans="1:7" ht="15" thickBot="1">
      <c r="A24" s="46"/>
      <c r="B24" s="46"/>
      <c r="C24" s="46"/>
      <c r="D24" s="46"/>
      <c r="E24" s="46"/>
      <c r="F24" s="46"/>
      <c r="G24" s="46"/>
    </row>
    <row r="25" spans="1:7" ht="15" thickBot="1">
      <c r="A25" s="46"/>
      <c r="B25" s="46"/>
      <c r="C25" s="46"/>
      <c r="D25" s="46"/>
      <c r="E25" s="46"/>
      <c r="F25" s="46"/>
      <c r="G25" s="46"/>
    </row>
    <row r="26" spans="1:7" ht="15" thickBot="1">
      <c r="A26" s="46"/>
      <c r="B26" s="46"/>
      <c r="C26" s="46"/>
      <c r="D26" s="46"/>
      <c r="E26" s="46"/>
      <c r="F26" s="46"/>
      <c r="G26" s="46"/>
    </row>
    <row r="27" spans="1:7" ht="15" thickBot="1">
      <c r="A27" s="46"/>
      <c r="B27" s="46"/>
      <c r="C27" s="46"/>
      <c r="D27" s="46"/>
      <c r="E27" s="46"/>
      <c r="F27" s="46"/>
      <c r="G27" s="46"/>
    </row>
    <row r="28" spans="1:7" ht="15" thickBot="1">
      <c r="A28" s="46"/>
      <c r="B28" s="46"/>
      <c r="C28" s="46"/>
      <c r="D28" s="46"/>
      <c r="E28" s="46"/>
      <c r="F28" s="46"/>
      <c r="G28" s="46"/>
    </row>
    <row r="29" spans="1:7" ht="15" thickBot="1">
      <c r="A29" s="46"/>
      <c r="B29" s="46"/>
      <c r="C29" s="46"/>
      <c r="D29" s="46"/>
      <c r="E29" s="46"/>
      <c r="F29" s="46"/>
      <c r="G29" s="46"/>
    </row>
    <row r="30" spans="1:7" ht="15" thickBot="1">
      <c r="A30" s="46"/>
      <c r="B30" s="46"/>
      <c r="C30" s="46"/>
      <c r="D30" s="46"/>
      <c r="E30" s="46"/>
      <c r="F30" s="46"/>
      <c r="G30" s="46"/>
    </row>
    <row r="31" spans="1:7" ht="15" thickBot="1">
      <c r="A31" s="46"/>
      <c r="B31" s="46"/>
      <c r="C31" s="46"/>
      <c r="D31" s="46"/>
      <c r="E31" s="46"/>
      <c r="F31" s="46"/>
      <c r="G31" s="46"/>
    </row>
    <row r="32" spans="1:7" ht="15" thickBot="1">
      <c r="A32" s="46"/>
      <c r="B32" s="46"/>
      <c r="C32" s="46"/>
      <c r="D32" s="46"/>
      <c r="E32" s="46"/>
      <c r="F32" s="46"/>
      <c r="G32" s="46"/>
    </row>
    <row r="33" spans="1:7" ht="15" thickBot="1">
      <c r="A33" s="46"/>
      <c r="B33" s="46"/>
      <c r="C33" s="46"/>
      <c r="D33" s="46"/>
      <c r="E33" s="46"/>
      <c r="F33" s="46"/>
      <c r="G33" s="46"/>
    </row>
    <row r="34" spans="1:7" ht="15" thickBot="1">
      <c r="A34" s="46"/>
      <c r="B34" s="46"/>
      <c r="C34" s="46"/>
      <c r="D34" s="46"/>
      <c r="E34" s="46"/>
      <c r="F34" s="46"/>
      <c r="G34" s="46"/>
    </row>
    <row r="35" spans="1:7" ht="15" thickBot="1">
      <c r="A35" s="46"/>
      <c r="B35" s="46"/>
      <c r="C35" s="46"/>
      <c r="D35" s="46"/>
      <c r="E35" s="46"/>
      <c r="F35" s="46"/>
      <c r="G35" s="46"/>
    </row>
    <row r="36" spans="1:7" ht="15" thickBot="1">
      <c r="A36" s="46"/>
      <c r="B36" s="46"/>
      <c r="C36" s="46"/>
      <c r="D36" s="46"/>
      <c r="E36" s="46"/>
      <c r="F36" s="46"/>
      <c r="G36" s="46"/>
    </row>
    <row r="37" spans="1:7" ht="15" thickBot="1">
      <c r="A37" s="46"/>
      <c r="B37" s="46"/>
      <c r="C37" s="46"/>
      <c r="D37" s="46"/>
      <c r="E37" s="46"/>
      <c r="F37" s="46"/>
      <c r="G37" s="46"/>
    </row>
    <row r="38" spans="1:7" ht="15" thickBot="1">
      <c r="A38" s="46"/>
      <c r="B38" s="46"/>
      <c r="C38" s="46"/>
      <c r="D38" s="46"/>
      <c r="E38" s="46"/>
      <c r="F38" s="46"/>
      <c r="G38" s="46"/>
    </row>
    <row r="39" spans="1:7" ht="15" thickBot="1">
      <c r="A39" s="46"/>
      <c r="B39" s="46"/>
      <c r="C39" s="46"/>
      <c r="D39" s="46"/>
      <c r="E39" s="46"/>
      <c r="F39" s="46"/>
      <c r="G39" s="46"/>
    </row>
    <row r="40" spans="1:7" ht="15" thickBot="1">
      <c r="A40" s="46"/>
      <c r="B40" s="46"/>
      <c r="C40" s="46"/>
      <c r="D40" s="46"/>
      <c r="E40" s="46"/>
      <c r="F40" s="46"/>
      <c r="G40" s="46"/>
    </row>
    <row r="41" spans="1:7" ht="15" thickBot="1">
      <c r="A41" s="46"/>
      <c r="B41" s="46"/>
      <c r="C41" s="46"/>
      <c r="D41" s="46"/>
      <c r="E41" s="46"/>
      <c r="F41" s="46"/>
      <c r="G41" s="46"/>
    </row>
    <row r="42" spans="1:7" ht="15" thickBot="1">
      <c r="A42" s="46"/>
      <c r="B42" s="46"/>
      <c r="C42" s="46"/>
      <c r="D42" s="46"/>
      <c r="E42" s="46"/>
      <c r="F42" s="46"/>
      <c r="G42" s="46"/>
    </row>
    <row r="43" spans="1:7" ht="15" thickBot="1">
      <c r="A43" s="46"/>
      <c r="B43" s="46"/>
      <c r="C43" s="46"/>
      <c r="D43" s="46"/>
      <c r="E43" s="46"/>
      <c r="F43" s="46"/>
      <c r="G43" s="46"/>
    </row>
    <row r="44" spans="1:7" ht="15" thickBot="1">
      <c r="A44" s="46"/>
      <c r="B44" s="46"/>
      <c r="C44" s="46"/>
      <c r="D44" s="46"/>
      <c r="E44" s="46"/>
      <c r="F44" s="46"/>
      <c r="G44" s="46"/>
    </row>
    <row r="45" spans="1:7" ht="15" thickBot="1">
      <c r="A45" s="46"/>
      <c r="B45" s="46"/>
      <c r="C45" s="46"/>
      <c r="D45" s="46"/>
      <c r="E45" s="46"/>
      <c r="F45" s="46"/>
      <c r="G45" s="46"/>
    </row>
    <row r="46" spans="1:7" ht="15" thickBot="1">
      <c r="A46" s="46"/>
      <c r="B46" s="46"/>
      <c r="C46" s="46"/>
      <c r="D46" s="46"/>
      <c r="E46" s="46"/>
      <c r="F46" s="46"/>
      <c r="G46" s="46"/>
    </row>
    <row r="47" spans="1:7" ht="15" thickBot="1">
      <c r="A47" s="46"/>
      <c r="B47" s="46"/>
      <c r="C47" s="46"/>
      <c r="D47" s="46"/>
      <c r="E47" s="46"/>
      <c r="F47" s="46"/>
      <c r="G47" s="46"/>
    </row>
    <row r="48" spans="1:7" ht="15" thickBot="1">
      <c r="A48" s="46"/>
      <c r="B48" s="46"/>
      <c r="C48" s="46"/>
      <c r="D48" s="46"/>
      <c r="E48" s="46"/>
      <c r="F48" s="46"/>
      <c r="G48" s="46"/>
    </row>
    <row r="49" spans="1:7" ht="15" thickBot="1">
      <c r="A49" s="46"/>
      <c r="B49" s="46"/>
      <c r="C49" s="46"/>
      <c r="D49" s="46"/>
      <c r="E49" s="46"/>
      <c r="F49" s="46"/>
      <c r="G49" s="46"/>
    </row>
    <row r="50" spans="1:7" ht="15" thickBot="1">
      <c r="A50" s="46"/>
      <c r="B50" s="46"/>
      <c r="C50" s="46"/>
      <c r="D50" s="46"/>
      <c r="E50" s="46"/>
      <c r="F50" s="46"/>
      <c r="G50" s="46"/>
    </row>
    <row r="51" spans="1:7" ht="15" thickBot="1">
      <c r="A51" s="46"/>
      <c r="B51" s="46"/>
      <c r="C51" s="46"/>
      <c r="D51" s="46"/>
      <c r="E51" s="46"/>
      <c r="F51" s="46"/>
      <c r="G51" s="46"/>
    </row>
    <row r="52" spans="1:7" ht="15" thickBot="1">
      <c r="A52" s="46"/>
      <c r="B52" s="46"/>
      <c r="C52" s="46"/>
      <c r="D52" s="46"/>
      <c r="E52" s="46"/>
      <c r="F52" s="46"/>
      <c r="G52" s="46"/>
    </row>
    <row r="53" spans="1:7" ht="15" thickBot="1">
      <c r="A53" s="46"/>
      <c r="B53" s="46"/>
      <c r="C53" s="46"/>
      <c r="D53" s="46"/>
      <c r="E53" s="46"/>
      <c r="F53" s="46"/>
      <c r="G53" s="46"/>
    </row>
    <row r="54" spans="1:7" ht="15" thickBot="1">
      <c r="A54" s="46"/>
      <c r="B54" s="46"/>
      <c r="C54" s="46"/>
      <c r="D54" s="46"/>
      <c r="E54" s="46"/>
      <c r="F54" s="46"/>
      <c r="G54" s="46"/>
    </row>
    <row r="55" spans="1:7" ht="15" thickBot="1">
      <c r="A55" s="46"/>
      <c r="B55" s="46"/>
      <c r="C55" s="46"/>
      <c r="D55" s="46"/>
      <c r="E55" s="46"/>
      <c r="F55" s="46"/>
      <c r="G55" s="46"/>
    </row>
    <row r="56" spans="1:7" ht="15" thickBot="1">
      <c r="A56" s="46"/>
      <c r="B56" s="46"/>
      <c r="C56" s="46"/>
      <c r="D56" s="46"/>
      <c r="E56" s="46"/>
      <c r="F56" s="46"/>
      <c r="G56" s="46"/>
    </row>
    <row r="57" spans="1:7" ht="15" thickBot="1">
      <c r="A57" s="46"/>
      <c r="B57" s="46"/>
      <c r="C57" s="46"/>
      <c r="D57" s="46"/>
      <c r="E57" s="46"/>
      <c r="F57" s="46"/>
      <c r="G57" s="46"/>
    </row>
    <row r="58" spans="1:7" ht="15" thickBot="1">
      <c r="A58" s="46"/>
      <c r="B58" s="46"/>
      <c r="C58" s="46"/>
      <c r="D58" s="46"/>
      <c r="E58" s="46"/>
      <c r="F58" s="46"/>
      <c r="G58" s="46"/>
    </row>
    <row r="59" spans="1:7" ht="15" thickBot="1">
      <c r="A59" s="46"/>
      <c r="B59" s="46"/>
      <c r="C59" s="46"/>
      <c r="D59" s="46"/>
      <c r="E59" s="46"/>
      <c r="F59" s="46"/>
      <c r="G59" s="46"/>
    </row>
    <row r="60" spans="1:7" ht="15" thickBot="1">
      <c r="A60" s="46"/>
      <c r="B60" s="46"/>
      <c r="C60" s="46"/>
      <c r="D60" s="46"/>
      <c r="E60" s="46"/>
      <c r="F60" s="46"/>
      <c r="G60" s="46"/>
    </row>
    <row r="61" spans="1:7" ht="15" thickBot="1">
      <c r="A61" s="46"/>
      <c r="B61" s="46"/>
      <c r="C61" s="46"/>
      <c r="D61" s="46"/>
      <c r="E61" s="46"/>
      <c r="F61" s="46"/>
      <c r="G61" s="46"/>
    </row>
    <row r="62" spans="1:7" ht="15" thickBot="1">
      <c r="A62" s="46"/>
      <c r="B62" s="46"/>
      <c r="C62" s="46"/>
      <c r="D62" s="46"/>
      <c r="E62" s="46"/>
      <c r="F62" s="46"/>
      <c r="G62" s="46"/>
    </row>
    <row r="63" spans="1:7" ht="15" thickBot="1">
      <c r="A63" s="46"/>
      <c r="B63" s="46"/>
      <c r="C63" s="46"/>
      <c r="D63" s="46"/>
      <c r="E63" s="46"/>
      <c r="F63" s="46"/>
      <c r="G63" s="46"/>
    </row>
    <row r="64" spans="1:7" ht="15" thickBot="1">
      <c r="A64" s="46"/>
      <c r="B64" s="46"/>
      <c r="C64" s="46"/>
      <c r="D64" s="46"/>
      <c r="E64" s="46"/>
      <c r="F64" s="46"/>
      <c r="G64" s="46"/>
    </row>
    <row r="65" spans="1:7" ht="15" thickBot="1">
      <c r="A65" s="46"/>
      <c r="B65" s="46"/>
      <c r="C65" s="46"/>
      <c r="D65" s="46"/>
      <c r="E65" s="46"/>
      <c r="F65" s="46"/>
      <c r="G65" s="46"/>
    </row>
    <row r="66" spans="1:7" ht="15" thickBot="1">
      <c r="A66" s="46"/>
      <c r="B66" s="46"/>
      <c r="C66" s="46"/>
      <c r="D66" s="46"/>
      <c r="E66" s="46"/>
      <c r="F66" s="46"/>
      <c r="G66" s="46"/>
    </row>
    <row r="67" spans="1:7" ht="15" thickBot="1">
      <c r="A67" s="46"/>
      <c r="B67" s="46"/>
      <c r="C67" s="46"/>
      <c r="D67" s="46"/>
      <c r="E67" s="46"/>
      <c r="F67" s="46"/>
      <c r="G67" s="46"/>
    </row>
    <row r="68" spans="1:7" ht="15" thickBot="1">
      <c r="A68" s="46"/>
      <c r="B68" s="46"/>
      <c r="C68" s="46"/>
      <c r="D68" s="46"/>
      <c r="E68" s="46"/>
      <c r="F68" s="46"/>
      <c r="G68" s="46"/>
    </row>
    <row r="69" spans="1:7" ht="15" thickBot="1">
      <c r="A69" s="46"/>
      <c r="B69" s="46"/>
      <c r="C69" s="46"/>
      <c r="D69" s="46"/>
      <c r="E69" s="46"/>
      <c r="F69" s="46"/>
      <c r="G69" s="46"/>
    </row>
    <row r="70" spans="1:7" ht="15" thickBot="1">
      <c r="A70" s="46"/>
      <c r="B70" s="46"/>
      <c r="C70" s="46"/>
      <c r="D70" s="46"/>
      <c r="E70" s="46"/>
      <c r="F70" s="46"/>
      <c r="G70" s="46"/>
    </row>
    <row r="71" spans="1:7" ht="15" thickBot="1">
      <c r="A71" s="46"/>
      <c r="B71" s="46"/>
      <c r="C71" s="46"/>
      <c r="D71" s="46"/>
      <c r="E71" s="46"/>
      <c r="F71" s="46"/>
      <c r="G71" s="46"/>
    </row>
    <row r="72" spans="1:7" ht="15" thickBot="1">
      <c r="A72" s="46"/>
      <c r="B72" s="46"/>
      <c r="C72" s="46"/>
      <c r="D72" s="46"/>
      <c r="E72" s="46"/>
      <c r="F72" s="46"/>
      <c r="G72" s="46"/>
    </row>
    <row r="73" spans="1:7" ht="15" thickBot="1">
      <c r="A73" s="46"/>
      <c r="B73" s="46"/>
      <c r="C73" s="46"/>
      <c r="D73" s="46"/>
      <c r="E73" s="46"/>
      <c r="F73" s="46"/>
      <c r="G73" s="46"/>
    </row>
    <row r="74" spans="1:7" ht="15" thickBot="1">
      <c r="A74" s="46"/>
      <c r="B74" s="46"/>
      <c r="C74" s="46"/>
      <c r="D74" s="46"/>
      <c r="E74" s="46"/>
      <c r="F74" s="46"/>
      <c r="G74" s="46"/>
    </row>
    <row r="75" spans="1:7" ht="15" thickBot="1">
      <c r="A75" s="46"/>
      <c r="B75" s="46"/>
      <c r="C75" s="46"/>
      <c r="D75" s="46"/>
      <c r="E75" s="46"/>
      <c r="F75" s="46"/>
      <c r="G75" s="46"/>
    </row>
    <row r="76" spans="1:7" ht="15" thickBot="1">
      <c r="A76" s="46"/>
      <c r="B76" s="46"/>
      <c r="C76" s="46"/>
      <c r="D76" s="46"/>
      <c r="E76" s="46"/>
      <c r="F76" s="46"/>
      <c r="G76" s="46"/>
    </row>
    <row r="77" spans="1:7" ht="15" thickBot="1">
      <c r="A77" s="46"/>
      <c r="B77" s="46"/>
      <c r="C77" s="46"/>
      <c r="D77" s="46"/>
      <c r="E77" s="46"/>
      <c r="F77" s="46"/>
      <c r="G77" s="46"/>
    </row>
    <row r="78" spans="1:7" ht="15" thickBot="1">
      <c r="A78" s="46"/>
      <c r="B78" s="46"/>
      <c r="C78" s="46"/>
      <c r="D78" s="46"/>
      <c r="E78" s="46"/>
      <c r="F78" s="46"/>
      <c r="G78" s="46"/>
    </row>
    <row r="79" spans="1:7" ht="15" thickBot="1">
      <c r="A79" s="46"/>
      <c r="B79" s="46"/>
      <c r="C79" s="46"/>
      <c r="D79" s="46"/>
      <c r="E79" s="46"/>
      <c r="F79" s="46"/>
      <c r="G79" s="46"/>
    </row>
    <row r="80" spans="1:7" ht="15" thickBot="1">
      <c r="A80" s="46"/>
      <c r="B80" s="46"/>
      <c r="C80" s="46"/>
      <c r="D80" s="46"/>
      <c r="E80" s="46"/>
      <c r="F80" s="46"/>
      <c r="G80" s="46"/>
    </row>
    <row r="81" spans="1:7" ht="15" thickBot="1">
      <c r="A81" s="46"/>
      <c r="B81" s="46"/>
      <c r="C81" s="46"/>
      <c r="D81" s="46"/>
      <c r="E81" s="46"/>
      <c r="F81" s="46"/>
      <c r="G81" s="46"/>
    </row>
    <row r="82" spans="1:7" ht="15" thickBot="1">
      <c r="A82" s="46"/>
      <c r="B82" s="46"/>
      <c r="C82" s="46"/>
      <c r="D82" s="46"/>
      <c r="E82" s="46"/>
      <c r="F82" s="46"/>
      <c r="G82" s="46"/>
    </row>
    <row r="83" spans="1:7" ht="15" thickBot="1">
      <c r="A83" s="46"/>
      <c r="B83" s="46"/>
      <c r="C83" s="46"/>
      <c r="D83" s="46"/>
      <c r="E83" s="46"/>
      <c r="F83" s="46"/>
      <c r="G83" s="46"/>
    </row>
    <row r="84" spans="1:7" ht="15" thickBot="1">
      <c r="A84" s="46"/>
      <c r="B84" s="46"/>
      <c r="C84" s="46"/>
      <c r="D84" s="46"/>
      <c r="E84" s="46"/>
      <c r="F84" s="46"/>
      <c r="G84" s="46"/>
    </row>
    <row r="85" spans="1:7" ht="15" thickBot="1">
      <c r="A85" s="46"/>
      <c r="B85" s="46"/>
      <c r="C85" s="46"/>
      <c r="D85" s="46"/>
      <c r="E85" s="46"/>
      <c r="F85" s="46"/>
      <c r="G85" s="46"/>
    </row>
    <row r="86" spans="1:7" ht="15" thickBot="1">
      <c r="A86" s="46"/>
      <c r="B86" s="46"/>
      <c r="C86" s="46"/>
      <c r="D86" s="46"/>
      <c r="E86" s="46"/>
      <c r="F86" s="46"/>
      <c r="G86" s="46"/>
    </row>
    <row r="87" spans="1:7" ht="15" thickBot="1">
      <c r="A87" s="46"/>
      <c r="B87" s="46"/>
      <c r="C87" s="46"/>
      <c r="D87" s="46"/>
      <c r="E87" s="46"/>
      <c r="F87" s="46"/>
      <c r="G87" s="46"/>
    </row>
    <row r="88" spans="1:7" ht="15" thickBot="1">
      <c r="A88" s="46"/>
      <c r="B88" s="46"/>
      <c r="C88" s="46"/>
      <c r="D88" s="46"/>
      <c r="E88" s="46"/>
      <c r="F88" s="46"/>
      <c r="G88" s="46"/>
    </row>
    <row r="89" spans="1:7" ht="15" thickBot="1">
      <c r="A89" s="46"/>
      <c r="B89" s="46"/>
      <c r="C89" s="46"/>
      <c r="D89" s="46"/>
      <c r="E89" s="46"/>
      <c r="F89" s="46"/>
      <c r="G89" s="46"/>
    </row>
    <row r="90" spans="1:7" ht="15" thickBot="1">
      <c r="A90" s="46"/>
      <c r="B90" s="46"/>
      <c r="C90" s="46"/>
      <c r="D90" s="46"/>
      <c r="E90" s="46"/>
      <c r="F90" s="46"/>
      <c r="G90" s="46"/>
    </row>
    <row r="91" spans="1:7" ht="15" thickBot="1">
      <c r="A91" s="46"/>
      <c r="B91" s="46"/>
      <c r="C91" s="46"/>
      <c r="D91" s="46"/>
      <c r="E91" s="46"/>
      <c r="F91" s="46"/>
      <c r="G91" s="46"/>
    </row>
    <row r="92" spans="1:7" ht="15" thickBot="1">
      <c r="A92" s="46"/>
      <c r="B92" s="46"/>
      <c r="C92" s="46"/>
      <c r="D92" s="46"/>
      <c r="E92" s="46"/>
      <c r="F92" s="46"/>
      <c r="G92" s="46"/>
    </row>
    <row r="93" spans="1:7" ht="15" thickBot="1">
      <c r="A93" s="46"/>
      <c r="B93" s="46"/>
      <c r="C93" s="46"/>
      <c r="D93" s="46"/>
      <c r="E93" s="46"/>
      <c r="F93" s="46"/>
      <c r="G93" s="46"/>
    </row>
    <row r="94" spans="1:7" ht="15" thickBot="1">
      <c r="A94" s="46"/>
      <c r="B94" s="46"/>
      <c r="C94" s="46"/>
      <c r="D94" s="46"/>
      <c r="E94" s="46"/>
      <c r="F94" s="46"/>
      <c r="G94" s="46"/>
    </row>
    <row r="95" spans="1:7" ht="15" thickBot="1">
      <c r="A95" s="46"/>
      <c r="B95" s="46"/>
      <c r="C95" s="46"/>
      <c r="D95" s="46"/>
      <c r="E95" s="46"/>
      <c r="F95" s="46"/>
      <c r="G95" s="46"/>
    </row>
    <row r="96" spans="1:7" ht="15" thickBot="1">
      <c r="A96" s="46"/>
      <c r="B96" s="46"/>
      <c r="C96" s="46"/>
      <c r="D96" s="46"/>
      <c r="E96" s="46"/>
      <c r="F96" s="46"/>
      <c r="G96" s="46"/>
    </row>
    <row r="97" spans="1:7" ht="15" thickBot="1">
      <c r="A97" s="46"/>
      <c r="B97" s="46"/>
      <c r="C97" s="46"/>
      <c r="D97" s="46"/>
      <c r="E97" s="46"/>
      <c r="F97" s="46"/>
      <c r="G97" s="46"/>
    </row>
    <row r="98" spans="1:7" ht="15" thickBot="1">
      <c r="A98" s="46"/>
      <c r="B98" s="46"/>
      <c r="C98" s="46"/>
      <c r="D98" s="46"/>
      <c r="E98" s="46"/>
      <c r="F98" s="46"/>
      <c r="G98" s="46"/>
    </row>
    <row r="99" spans="1:7" ht="15" thickBot="1">
      <c r="A99" s="46"/>
      <c r="B99" s="46"/>
      <c r="C99" s="46"/>
      <c r="D99" s="46"/>
      <c r="E99" s="46"/>
      <c r="F99" s="46"/>
      <c r="G99" s="46"/>
    </row>
    <row r="100" spans="1:7" ht="15" thickBot="1">
      <c r="A100" s="46"/>
      <c r="B100" s="46"/>
      <c r="C100" s="46"/>
      <c r="D100" s="46"/>
      <c r="E100" s="46"/>
      <c r="F100" s="46"/>
      <c r="G100" s="46"/>
    </row>
    <row r="101" spans="1:7" ht="15" thickBot="1">
      <c r="A101" s="46"/>
      <c r="B101" s="46"/>
      <c r="C101" s="46"/>
      <c r="D101" s="46"/>
      <c r="E101" s="46"/>
      <c r="F101" s="46"/>
      <c r="G101" s="46"/>
    </row>
    <row r="102" spans="1:7" ht="15" thickBot="1">
      <c r="A102" s="46"/>
      <c r="B102" s="46"/>
      <c r="C102" s="46"/>
      <c r="D102" s="46"/>
      <c r="E102" s="46"/>
      <c r="F102" s="46"/>
      <c r="G102" s="46"/>
    </row>
    <row r="103" spans="1:7" ht="15" thickBot="1">
      <c r="A103" s="46"/>
      <c r="B103" s="46"/>
      <c r="C103" s="46"/>
      <c r="D103" s="46"/>
      <c r="E103" s="46"/>
      <c r="F103" s="46"/>
      <c r="G103" s="46"/>
    </row>
    <row r="104" spans="1:7" ht="15" thickBot="1">
      <c r="A104" s="46"/>
      <c r="B104" s="46"/>
      <c r="C104" s="46"/>
      <c r="D104" s="46"/>
      <c r="E104" s="46"/>
      <c r="F104" s="46"/>
      <c r="G104" s="46"/>
    </row>
    <row r="105" spans="1:7" ht="15" thickBot="1">
      <c r="A105" s="46"/>
      <c r="B105" s="46"/>
      <c r="C105" s="46"/>
      <c r="D105" s="46"/>
      <c r="E105" s="46"/>
      <c r="F105" s="46"/>
      <c r="G105" s="46"/>
    </row>
    <row r="106" spans="1:7" ht="15" thickBot="1">
      <c r="A106" s="46"/>
      <c r="B106" s="46"/>
      <c r="C106" s="46"/>
      <c r="D106" s="46"/>
      <c r="E106" s="46"/>
      <c r="F106" s="46"/>
      <c r="G106" s="46"/>
    </row>
    <row r="107" spans="1:7" ht="15" thickBot="1">
      <c r="A107" s="46"/>
      <c r="B107" s="46"/>
      <c r="C107" s="46"/>
      <c r="D107" s="46"/>
      <c r="E107" s="46"/>
      <c r="F107" s="46"/>
      <c r="G107" s="46"/>
    </row>
    <row r="108" spans="1:7" ht="15" thickBot="1">
      <c r="A108" s="46"/>
      <c r="B108" s="46"/>
      <c r="C108" s="46"/>
      <c r="D108" s="46"/>
      <c r="E108" s="46"/>
      <c r="F108" s="46"/>
      <c r="G108" s="46"/>
    </row>
    <row r="109" spans="1:7" ht="15" thickBot="1">
      <c r="A109" s="46"/>
      <c r="B109" s="46"/>
      <c r="C109" s="46"/>
      <c r="D109" s="46"/>
      <c r="E109" s="46"/>
      <c r="F109" s="46"/>
      <c r="G109" s="46"/>
    </row>
    <row r="110" spans="1:7" ht="15" thickBot="1">
      <c r="A110" s="46"/>
      <c r="B110" s="46"/>
      <c r="C110" s="46"/>
      <c r="D110" s="46"/>
      <c r="E110" s="46"/>
      <c r="F110" s="46"/>
      <c r="G110" s="46"/>
    </row>
    <row r="111" spans="1:7" ht="15" thickBot="1">
      <c r="A111" s="46"/>
      <c r="B111" s="46"/>
      <c r="C111" s="46"/>
      <c r="D111" s="46"/>
      <c r="E111" s="46"/>
      <c r="F111" s="46"/>
      <c r="G111" s="46"/>
    </row>
    <row r="112" spans="1:7" ht="15" thickBot="1">
      <c r="A112" s="46"/>
      <c r="B112" s="46"/>
      <c r="C112" s="46"/>
      <c r="D112" s="46"/>
      <c r="E112" s="46"/>
      <c r="F112" s="46"/>
      <c r="G112" s="46"/>
    </row>
    <row r="113" spans="1:7" ht="15" thickBot="1">
      <c r="A113" s="46"/>
      <c r="B113" s="46"/>
      <c r="C113" s="46"/>
      <c r="D113" s="46"/>
      <c r="E113" s="46"/>
      <c r="F113" s="46"/>
      <c r="G113" s="46"/>
    </row>
    <row r="114" spans="1:7" ht="15" thickBot="1">
      <c r="A114" s="46"/>
      <c r="B114" s="46"/>
      <c r="C114" s="46"/>
      <c r="D114" s="46"/>
      <c r="E114" s="46"/>
      <c r="F114" s="46"/>
      <c r="G114" s="46"/>
    </row>
    <row r="115" spans="1:7" ht="15" thickBot="1">
      <c r="A115" s="46"/>
      <c r="B115" s="46"/>
      <c r="C115" s="46"/>
      <c r="D115" s="46"/>
      <c r="E115" s="46"/>
      <c r="F115" s="46"/>
      <c r="G115" s="46"/>
    </row>
    <row r="116" spans="1:7" ht="15" thickBot="1">
      <c r="A116" s="46"/>
      <c r="B116" s="46"/>
      <c r="C116" s="46"/>
      <c r="D116" s="46"/>
      <c r="E116" s="46"/>
      <c r="F116" s="46"/>
      <c r="G116" s="46"/>
    </row>
    <row r="117" spans="1:7" ht="15" thickBot="1">
      <c r="A117" s="46"/>
      <c r="B117" s="46"/>
      <c r="C117" s="46"/>
      <c r="D117" s="46"/>
      <c r="E117" s="46"/>
      <c r="F117" s="46"/>
      <c r="G117" s="46"/>
    </row>
    <row r="118" spans="1:7" ht="15" thickBot="1">
      <c r="A118" s="46"/>
      <c r="B118" s="46"/>
      <c r="C118" s="46"/>
      <c r="D118" s="46"/>
      <c r="E118" s="46"/>
      <c r="F118" s="46"/>
      <c r="G118" s="46"/>
    </row>
    <row r="119" spans="1:7" ht="15" thickBot="1">
      <c r="A119" s="46"/>
      <c r="B119" s="46"/>
      <c r="C119" s="46"/>
      <c r="D119" s="46"/>
      <c r="E119" s="46"/>
      <c r="F119" s="46"/>
      <c r="G119" s="46"/>
    </row>
    <row r="120" spans="1:7" ht="15" thickBot="1">
      <c r="A120" s="46"/>
      <c r="B120" s="46"/>
      <c r="C120" s="46"/>
      <c r="D120" s="46"/>
      <c r="E120" s="46"/>
      <c r="F120" s="46"/>
      <c r="G120" s="46"/>
    </row>
    <row r="121" spans="1:7" ht="15" thickBot="1">
      <c r="A121" s="46"/>
      <c r="B121" s="46"/>
      <c r="C121" s="46"/>
      <c r="D121" s="46"/>
      <c r="E121" s="46"/>
      <c r="F121" s="46"/>
      <c r="G121" s="46"/>
    </row>
    <row r="122" spans="1:7" ht="15" thickBot="1">
      <c r="A122" s="46"/>
      <c r="B122" s="46"/>
      <c r="C122" s="46"/>
      <c r="D122" s="46"/>
      <c r="E122" s="46"/>
      <c r="F122" s="46"/>
      <c r="G122" s="46"/>
    </row>
    <row r="123" spans="1:7" ht="15" thickBot="1">
      <c r="A123" s="46"/>
      <c r="B123" s="46"/>
      <c r="C123" s="46"/>
      <c r="D123" s="46"/>
      <c r="E123" s="46"/>
      <c r="F123" s="46"/>
      <c r="G123" s="46"/>
    </row>
    <row r="124" spans="1:7" ht="15" thickBot="1">
      <c r="A124" s="46"/>
      <c r="B124" s="46"/>
      <c r="C124" s="46"/>
      <c r="D124" s="46"/>
      <c r="E124" s="46"/>
      <c r="F124" s="46"/>
      <c r="G124" s="46"/>
    </row>
    <row r="125" spans="1:7" ht="15" thickBot="1">
      <c r="A125" s="46"/>
      <c r="B125" s="46"/>
      <c r="C125" s="46"/>
      <c r="D125" s="46"/>
      <c r="E125" s="46"/>
      <c r="F125" s="46"/>
      <c r="G125" s="46"/>
    </row>
    <row r="126" spans="1:7" ht="15" thickBot="1">
      <c r="A126" s="46"/>
      <c r="B126" s="46"/>
      <c r="C126" s="46"/>
      <c r="D126" s="46"/>
      <c r="E126" s="46"/>
      <c r="F126" s="46"/>
      <c r="G126" s="46"/>
    </row>
    <row r="127" spans="1:7" ht="15" thickBot="1">
      <c r="A127" s="46"/>
      <c r="B127" s="46"/>
      <c r="C127" s="46"/>
      <c r="D127" s="46"/>
      <c r="E127" s="46"/>
      <c r="F127" s="46"/>
      <c r="G127" s="46"/>
    </row>
    <row r="128" spans="1:7" ht="15" thickBot="1">
      <c r="A128" s="46"/>
      <c r="B128" s="46"/>
      <c r="C128" s="46"/>
      <c r="D128" s="46"/>
      <c r="E128" s="46"/>
      <c r="F128" s="46"/>
      <c r="G128" s="46"/>
    </row>
    <row r="129" spans="1:7" ht="15" thickBot="1">
      <c r="A129" s="46"/>
      <c r="B129" s="46"/>
      <c r="C129" s="46"/>
      <c r="D129" s="46"/>
      <c r="E129" s="46"/>
      <c r="F129" s="46"/>
      <c r="G129" s="46"/>
    </row>
    <row r="130" spans="1:7" ht="15" thickBot="1">
      <c r="A130" s="46"/>
      <c r="B130" s="46"/>
      <c r="C130" s="46"/>
      <c r="D130" s="46"/>
      <c r="E130" s="46"/>
      <c r="F130" s="46"/>
      <c r="G130" s="46"/>
    </row>
    <row r="131" spans="1:7" ht="15" thickBot="1">
      <c r="A131" s="46"/>
      <c r="B131" s="46"/>
      <c r="C131" s="46"/>
      <c r="D131" s="46"/>
      <c r="E131" s="46"/>
      <c r="F131" s="46"/>
      <c r="G131" s="46"/>
    </row>
    <row r="132" spans="1:7" ht="15" thickBot="1">
      <c r="A132" s="46"/>
      <c r="B132" s="46"/>
      <c r="C132" s="46"/>
      <c r="D132" s="46"/>
      <c r="E132" s="46"/>
      <c r="F132" s="46"/>
      <c r="G132" s="46"/>
    </row>
    <row r="133" spans="1:7" ht="15" thickBot="1">
      <c r="A133" s="46"/>
      <c r="B133" s="46"/>
      <c r="C133" s="46"/>
      <c r="D133" s="46"/>
      <c r="E133" s="46"/>
      <c r="F133" s="46"/>
      <c r="G133" s="46"/>
    </row>
    <row r="134" spans="1:7" ht="15" thickBot="1">
      <c r="A134" s="46"/>
      <c r="B134" s="46"/>
      <c r="C134" s="46"/>
      <c r="D134" s="46"/>
      <c r="E134" s="46"/>
      <c r="F134" s="46"/>
      <c r="G134" s="46"/>
    </row>
    <row r="135" spans="1:7" ht="15" thickBot="1">
      <c r="A135" s="46"/>
      <c r="B135" s="46"/>
      <c r="C135" s="46"/>
      <c r="D135" s="46"/>
      <c r="E135" s="46"/>
      <c r="F135" s="46"/>
      <c r="G135" s="46"/>
    </row>
    <row r="136" spans="1:7" ht="15" thickBot="1">
      <c r="A136" s="46"/>
      <c r="B136" s="46"/>
      <c r="C136" s="46"/>
      <c r="D136" s="46"/>
      <c r="E136" s="46"/>
      <c r="F136" s="46"/>
      <c r="G136" s="46"/>
    </row>
    <row r="137" spans="1:7" ht="15" thickBot="1">
      <c r="A137" s="46"/>
      <c r="B137" s="46"/>
      <c r="C137" s="46"/>
      <c r="D137" s="46"/>
      <c r="E137" s="46"/>
      <c r="F137" s="46"/>
      <c r="G137" s="46"/>
    </row>
    <row r="138" spans="1:7" ht="15" thickBot="1">
      <c r="A138" s="46"/>
      <c r="B138" s="46"/>
      <c r="C138" s="46"/>
      <c r="D138" s="46"/>
      <c r="E138" s="46"/>
      <c r="F138" s="46"/>
      <c r="G138" s="46"/>
    </row>
    <row r="139" spans="1:7" ht="15" thickBot="1">
      <c r="A139" s="46"/>
      <c r="B139" s="46"/>
      <c r="C139" s="46"/>
      <c r="D139" s="46"/>
      <c r="E139" s="46"/>
      <c r="F139" s="46"/>
      <c r="G139" s="46"/>
    </row>
    <row r="140" spans="1:7" ht="15" thickBot="1">
      <c r="A140" s="46"/>
      <c r="B140" s="46"/>
      <c r="C140" s="46"/>
      <c r="D140" s="46"/>
      <c r="E140" s="46"/>
      <c r="F140" s="46"/>
      <c r="G140" s="46"/>
    </row>
    <row r="141" spans="1:7" ht="15" thickBot="1">
      <c r="A141" s="46"/>
      <c r="B141" s="46"/>
      <c r="C141" s="46"/>
      <c r="D141" s="46"/>
      <c r="E141" s="46"/>
      <c r="F141" s="46"/>
      <c r="G141" s="46"/>
    </row>
    <row r="142" spans="1:7" ht="15" thickBot="1">
      <c r="A142" s="46"/>
      <c r="B142" s="46"/>
      <c r="C142" s="46"/>
      <c r="D142" s="46"/>
      <c r="E142" s="46"/>
      <c r="F142" s="46"/>
      <c r="G142" s="46"/>
    </row>
    <row r="143" spans="1:7" ht="15" thickBot="1">
      <c r="A143" s="46"/>
      <c r="B143" s="46"/>
      <c r="C143" s="46"/>
      <c r="D143" s="46"/>
      <c r="E143" s="46"/>
      <c r="F143" s="46"/>
      <c r="G143" s="46"/>
    </row>
    <row r="144" spans="1:7" ht="15" thickBot="1">
      <c r="A144" s="46"/>
      <c r="B144" s="46"/>
      <c r="C144" s="46"/>
      <c r="D144" s="46"/>
      <c r="E144" s="46"/>
      <c r="F144" s="46"/>
      <c r="G144" s="46"/>
    </row>
    <row r="145" spans="1:7" ht="15" thickBot="1">
      <c r="A145" s="46"/>
      <c r="B145" s="46"/>
      <c r="C145" s="46"/>
      <c r="D145" s="46"/>
      <c r="E145" s="46"/>
      <c r="F145" s="46"/>
      <c r="G145" s="46"/>
    </row>
    <row r="146" spans="1:7" ht="15" thickBot="1">
      <c r="A146" s="46"/>
      <c r="B146" s="46"/>
      <c r="C146" s="46"/>
      <c r="D146" s="46"/>
      <c r="E146" s="46"/>
      <c r="F146" s="46"/>
      <c r="G146" s="46"/>
    </row>
    <row r="147" spans="1:7" ht="15" thickBot="1">
      <c r="A147" s="46"/>
      <c r="B147" s="46"/>
      <c r="C147" s="46"/>
      <c r="D147" s="46"/>
      <c r="E147" s="46"/>
      <c r="F147" s="46"/>
      <c r="G147" s="46"/>
    </row>
    <row r="148" spans="1:7" ht="15" thickBot="1">
      <c r="A148" s="46"/>
      <c r="B148" s="46"/>
      <c r="C148" s="46"/>
      <c r="D148" s="46"/>
      <c r="E148" s="46"/>
      <c r="F148" s="46"/>
      <c r="G148" s="46"/>
    </row>
    <row r="149" spans="1:7" ht="15" thickBot="1">
      <c r="A149" s="46"/>
      <c r="B149" s="46"/>
      <c r="C149" s="46"/>
      <c r="D149" s="46"/>
      <c r="E149" s="46"/>
      <c r="F149" s="46"/>
      <c r="G149" s="46"/>
    </row>
    <row r="150" spans="1:7" ht="15" thickBot="1">
      <c r="A150" s="46"/>
      <c r="B150" s="46"/>
      <c r="C150" s="46"/>
      <c r="D150" s="46"/>
      <c r="E150" s="46"/>
      <c r="F150" s="46"/>
      <c r="G150" s="46"/>
    </row>
    <row r="151" spans="1:7" ht="15" thickBot="1">
      <c r="A151" s="46"/>
      <c r="B151" s="46"/>
      <c r="C151" s="46"/>
      <c r="D151" s="46"/>
      <c r="E151" s="46"/>
      <c r="F151" s="46"/>
      <c r="G151" s="46"/>
    </row>
    <row r="152" spans="1:7" ht="15" thickBot="1">
      <c r="A152" s="46"/>
      <c r="B152" s="46"/>
      <c r="C152" s="46"/>
      <c r="D152" s="46"/>
      <c r="E152" s="46"/>
      <c r="F152" s="46"/>
      <c r="G152" s="46"/>
    </row>
    <row r="153" spans="1:7" ht="15" thickBot="1">
      <c r="A153" s="46"/>
      <c r="B153" s="46"/>
      <c r="C153" s="46"/>
      <c r="D153" s="46"/>
      <c r="E153" s="46"/>
      <c r="F153" s="46"/>
      <c r="G153" s="46"/>
    </row>
    <row r="154" spans="1:7" ht="15" thickBot="1">
      <c r="A154" s="46"/>
      <c r="B154" s="46"/>
      <c r="C154" s="46"/>
      <c r="D154" s="46"/>
      <c r="E154" s="46"/>
      <c r="F154" s="46"/>
      <c r="G154" s="46"/>
    </row>
    <row r="155" spans="1:7" ht="15" thickBot="1">
      <c r="A155" s="46"/>
      <c r="B155" s="46"/>
      <c r="C155" s="46"/>
      <c r="D155" s="46"/>
      <c r="E155" s="46"/>
      <c r="F155" s="46"/>
      <c r="G155" s="46"/>
    </row>
    <row r="156" spans="1:7" ht="15" thickBot="1">
      <c r="A156" s="46"/>
      <c r="B156" s="46"/>
      <c r="C156" s="46"/>
      <c r="D156" s="46"/>
      <c r="E156" s="46"/>
      <c r="F156" s="46"/>
      <c r="G156" s="46"/>
    </row>
    <row r="157" spans="1:7" ht="15" thickBot="1">
      <c r="A157" s="46"/>
      <c r="B157" s="46"/>
      <c r="C157" s="46"/>
      <c r="D157" s="46"/>
      <c r="E157" s="46"/>
      <c r="F157" s="46"/>
      <c r="G157" s="46"/>
    </row>
    <row r="158" spans="1:7" ht="15" thickBot="1">
      <c r="A158" s="46"/>
      <c r="B158" s="46"/>
      <c r="C158" s="46"/>
      <c r="D158" s="46"/>
      <c r="E158" s="46"/>
      <c r="F158" s="46"/>
      <c r="G158" s="46"/>
    </row>
    <row r="159" spans="1:7" ht="15" thickBot="1">
      <c r="A159" s="46"/>
      <c r="B159" s="46"/>
      <c r="C159" s="46"/>
      <c r="D159" s="46"/>
      <c r="E159" s="46"/>
      <c r="F159" s="46"/>
      <c r="G159" s="46"/>
    </row>
    <row r="160" spans="1:7" ht="15" thickBot="1">
      <c r="A160" s="46"/>
      <c r="B160" s="46"/>
      <c r="C160" s="46"/>
      <c r="D160" s="46"/>
      <c r="E160" s="46"/>
      <c r="F160" s="46"/>
      <c r="G160" s="46"/>
    </row>
    <row r="161" spans="1:7" ht="15" thickBot="1">
      <c r="A161" s="46"/>
      <c r="B161" s="46"/>
      <c r="C161" s="46"/>
      <c r="D161" s="46"/>
      <c r="E161" s="46"/>
      <c r="F161" s="46"/>
      <c r="G161" s="46"/>
    </row>
    <row r="162" spans="1:7" ht="15" thickBot="1">
      <c r="A162" s="46"/>
      <c r="B162" s="46"/>
      <c r="C162" s="46"/>
      <c r="D162" s="46"/>
      <c r="E162" s="46"/>
      <c r="F162" s="46"/>
      <c r="G162" s="46"/>
    </row>
    <row r="163" spans="1:7" ht="15" thickBot="1">
      <c r="A163" s="46"/>
      <c r="B163" s="46"/>
      <c r="C163" s="46"/>
      <c r="D163" s="46"/>
      <c r="E163" s="46"/>
      <c r="F163" s="46"/>
      <c r="G163" s="46"/>
    </row>
    <row r="164" spans="1:7" ht="15" thickBot="1">
      <c r="A164" s="46"/>
      <c r="B164" s="46"/>
      <c r="C164" s="46"/>
      <c r="D164" s="46"/>
      <c r="E164" s="46"/>
      <c r="F164" s="46"/>
      <c r="G164" s="46"/>
    </row>
    <row r="165" spans="1:7" ht="15" thickBot="1">
      <c r="A165" s="46"/>
      <c r="B165" s="46"/>
      <c r="C165" s="46"/>
      <c r="D165" s="46"/>
      <c r="E165" s="46"/>
      <c r="F165" s="46"/>
      <c r="G165" s="46"/>
    </row>
    <row r="166" spans="1:7" ht="15" thickBot="1">
      <c r="A166" s="46"/>
      <c r="B166" s="46"/>
      <c r="C166" s="46"/>
      <c r="D166" s="46"/>
      <c r="E166" s="46"/>
      <c r="F166" s="46"/>
      <c r="G166" s="46"/>
    </row>
    <row r="167" spans="1:7" ht="15" thickBot="1">
      <c r="A167" s="46"/>
      <c r="B167" s="46"/>
      <c r="C167" s="46"/>
      <c r="D167" s="46"/>
      <c r="E167" s="46"/>
      <c r="F167" s="46"/>
      <c r="G167" s="46"/>
    </row>
    <row r="168" spans="1:7" ht="15" thickBot="1">
      <c r="A168" s="46"/>
      <c r="B168" s="46"/>
      <c r="C168" s="46"/>
      <c r="D168" s="46"/>
      <c r="E168" s="46"/>
      <c r="F168" s="46"/>
      <c r="G168" s="46"/>
    </row>
    <row r="169" spans="1:7" ht="15" thickBot="1">
      <c r="A169" s="46"/>
      <c r="B169" s="46"/>
      <c r="C169" s="46"/>
      <c r="D169" s="46"/>
      <c r="E169" s="46"/>
      <c r="F169" s="46"/>
      <c r="G169" s="46"/>
    </row>
    <row r="170" spans="1:7" ht="15" thickBot="1">
      <c r="A170" s="46"/>
      <c r="B170" s="46"/>
      <c r="C170" s="46"/>
      <c r="D170" s="46"/>
      <c r="E170" s="46"/>
      <c r="F170" s="46"/>
      <c r="G170" s="46"/>
    </row>
    <row r="171" spans="1:7" ht="15" thickBot="1">
      <c r="A171" s="46"/>
      <c r="B171" s="46"/>
      <c r="C171" s="46"/>
      <c r="D171" s="46"/>
      <c r="E171" s="46"/>
      <c r="F171" s="46"/>
      <c r="G171" s="46"/>
    </row>
    <row r="172" spans="1:7" ht="15" thickBot="1">
      <c r="A172" s="46"/>
      <c r="B172" s="46"/>
      <c r="C172" s="46"/>
      <c r="D172" s="46"/>
      <c r="E172" s="46"/>
      <c r="F172" s="46"/>
      <c r="G172" s="46"/>
    </row>
    <row r="173" spans="1:7" ht="15" thickBot="1">
      <c r="A173" s="46"/>
      <c r="B173" s="46"/>
      <c r="C173" s="46"/>
      <c r="D173" s="46"/>
      <c r="E173" s="46"/>
      <c r="F173" s="46"/>
      <c r="G173" s="46"/>
    </row>
    <row r="174" spans="1:7" ht="15" thickBot="1">
      <c r="A174" s="46"/>
      <c r="B174" s="46"/>
      <c r="C174" s="46"/>
      <c r="D174" s="46"/>
      <c r="E174" s="46"/>
      <c r="F174" s="46"/>
      <c r="G174" s="46"/>
    </row>
    <row r="175" spans="1:7" ht="15" thickBot="1">
      <c r="A175" s="46"/>
      <c r="B175" s="46"/>
      <c r="C175" s="46"/>
      <c r="D175" s="46"/>
      <c r="E175" s="46"/>
      <c r="F175" s="46"/>
      <c r="G175" s="46"/>
    </row>
    <row r="176" spans="1:7" ht="15" thickBot="1">
      <c r="A176" s="46"/>
      <c r="B176" s="46"/>
      <c r="C176" s="46"/>
      <c r="D176" s="46"/>
      <c r="E176" s="46"/>
      <c r="F176" s="46"/>
      <c r="G176" s="46"/>
    </row>
    <row r="177" spans="1:7" ht="15" thickBot="1">
      <c r="A177" s="46"/>
      <c r="B177" s="46"/>
      <c r="C177" s="46"/>
      <c r="D177" s="46"/>
      <c r="E177" s="46"/>
      <c r="F177" s="46"/>
      <c r="G177" s="46"/>
    </row>
    <row r="178" spans="1:7" ht="15" thickBot="1">
      <c r="A178" s="46"/>
      <c r="B178" s="46"/>
      <c r="C178" s="46"/>
      <c r="D178" s="46"/>
      <c r="E178" s="46"/>
      <c r="F178" s="46"/>
      <c r="G178" s="46"/>
    </row>
    <row r="179" spans="1:7" ht="15" thickBot="1">
      <c r="A179" s="46"/>
      <c r="B179" s="46"/>
      <c r="C179" s="46"/>
      <c r="D179" s="46"/>
      <c r="E179" s="46"/>
      <c r="F179" s="46"/>
      <c r="G179" s="46"/>
    </row>
    <row r="180" spans="1:7" ht="15" thickBot="1">
      <c r="A180" s="46"/>
      <c r="B180" s="46"/>
      <c r="C180" s="46"/>
      <c r="D180" s="46"/>
      <c r="E180" s="46"/>
      <c r="F180" s="46"/>
      <c r="G180" s="46"/>
    </row>
    <row r="181" spans="1:7" ht="15" thickBot="1">
      <c r="A181" s="46"/>
      <c r="B181" s="46"/>
      <c r="C181" s="46"/>
      <c r="D181" s="46"/>
      <c r="E181" s="46"/>
      <c r="F181" s="46"/>
      <c r="G181" s="46"/>
    </row>
    <row r="182" spans="1:7" ht="15" thickBot="1">
      <c r="A182" s="46"/>
      <c r="B182" s="46"/>
      <c r="C182" s="46"/>
      <c r="D182" s="46"/>
      <c r="E182" s="46"/>
      <c r="F182" s="46"/>
      <c r="G182" s="46"/>
    </row>
    <row r="183" spans="1:7" ht="15" thickBot="1">
      <c r="A183" s="46"/>
      <c r="B183" s="46"/>
      <c r="C183" s="46"/>
      <c r="D183" s="46"/>
      <c r="E183" s="46"/>
      <c r="F183" s="46"/>
      <c r="G183" s="46"/>
    </row>
    <row r="184" spans="1:7" ht="15" thickBot="1">
      <c r="A184" s="46"/>
      <c r="B184" s="46"/>
      <c r="C184" s="46"/>
      <c r="D184" s="46"/>
      <c r="E184" s="46"/>
      <c r="F184" s="46"/>
      <c r="G184" s="46"/>
    </row>
    <row r="185" spans="1:7" ht="15" thickBot="1">
      <c r="A185" s="46"/>
      <c r="B185" s="46"/>
      <c r="C185" s="46"/>
      <c r="D185" s="46"/>
      <c r="E185" s="46"/>
      <c r="F185" s="46"/>
      <c r="G185" s="46"/>
    </row>
    <row r="186" spans="1:7" ht="15" thickBot="1">
      <c r="A186" s="46"/>
      <c r="B186" s="46"/>
      <c r="C186" s="46"/>
      <c r="D186" s="46"/>
      <c r="E186" s="46"/>
      <c r="F186" s="46"/>
      <c r="G186" s="46"/>
    </row>
    <row r="187" spans="1:7" ht="15" thickBot="1">
      <c r="A187" s="46"/>
      <c r="B187" s="46"/>
      <c r="C187" s="46"/>
      <c r="D187" s="46"/>
      <c r="E187" s="46"/>
      <c r="F187" s="46"/>
      <c r="G187" s="46"/>
    </row>
    <row r="188" spans="1:7" ht="15" thickBot="1">
      <c r="A188" s="46"/>
      <c r="B188" s="46"/>
      <c r="C188" s="46"/>
      <c r="D188" s="46"/>
      <c r="E188" s="46"/>
      <c r="F188" s="46"/>
      <c r="G188" s="46"/>
    </row>
    <row r="189" spans="1:7" ht="15" thickBot="1">
      <c r="A189" s="46"/>
      <c r="B189" s="46"/>
      <c r="C189" s="46"/>
      <c r="D189" s="46"/>
      <c r="E189" s="46"/>
      <c r="F189" s="46"/>
      <c r="G189" s="46"/>
    </row>
    <row r="190" spans="1:7" ht="15" thickBot="1">
      <c r="A190" s="46"/>
      <c r="B190" s="46"/>
      <c r="C190" s="46"/>
      <c r="D190" s="46"/>
      <c r="E190" s="46"/>
      <c r="F190" s="46"/>
      <c r="G190" s="46"/>
    </row>
    <row r="191" spans="1:7" ht="15" thickBot="1">
      <c r="A191" s="46"/>
      <c r="B191" s="46"/>
      <c r="C191" s="46"/>
      <c r="D191" s="46"/>
      <c r="E191" s="46"/>
      <c r="F191" s="46"/>
      <c r="G191" s="46"/>
    </row>
    <row r="192" spans="1:7" ht="15" thickBot="1">
      <c r="A192" s="46"/>
      <c r="B192" s="46"/>
      <c r="C192" s="46"/>
      <c r="D192" s="46"/>
      <c r="E192" s="46"/>
      <c r="F192" s="46"/>
      <c r="G192" s="46"/>
    </row>
    <row r="193" spans="1:7" ht="15" thickBot="1">
      <c r="A193" s="46"/>
      <c r="B193" s="46"/>
      <c r="C193" s="46"/>
      <c r="D193" s="46"/>
      <c r="E193" s="46"/>
      <c r="F193" s="46"/>
      <c r="G193" s="46"/>
    </row>
    <row r="194" spans="1:7" ht="15" thickBot="1">
      <c r="A194" s="46"/>
      <c r="B194" s="46"/>
      <c r="C194" s="46"/>
      <c r="D194" s="46"/>
      <c r="E194" s="46"/>
      <c r="F194" s="46"/>
      <c r="G194" s="46"/>
    </row>
    <row r="195" spans="1:7" ht="15" thickBot="1">
      <c r="A195" s="46"/>
      <c r="B195" s="46"/>
      <c r="C195" s="46"/>
      <c r="D195" s="46"/>
      <c r="E195" s="46"/>
      <c r="F195" s="46"/>
      <c r="G195" s="46"/>
    </row>
    <row r="196" spans="1:7" ht="15" thickBot="1">
      <c r="A196" s="46"/>
      <c r="B196" s="46"/>
      <c r="C196" s="46"/>
      <c r="D196" s="46"/>
      <c r="E196" s="46"/>
      <c r="F196" s="46"/>
      <c r="G196" s="46"/>
    </row>
    <row r="197" spans="1:7" ht="15" thickBot="1">
      <c r="A197" s="46"/>
      <c r="B197" s="46"/>
      <c r="C197" s="46"/>
      <c r="D197" s="46"/>
      <c r="E197" s="46"/>
      <c r="F197" s="46"/>
      <c r="G197" s="46"/>
    </row>
    <row r="198" spans="1:7" ht="15" thickBot="1">
      <c r="A198" s="46"/>
      <c r="B198" s="46"/>
      <c r="C198" s="46"/>
      <c r="D198" s="46"/>
      <c r="E198" s="46"/>
      <c r="F198" s="46"/>
      <c r="G198" s="46"/>
    </row>
    <row r="199" spans="1:7" ht="15" thickBot="1">
      <c r="A199" s="46"/>
      <c r="B199" s="46"/>
      <c r="C199" s="46"/>
      <c r="D199" s="46"/>
      <c r="E199" s="46"/>
      <c r="F199" s="46"/>
      <c r="G199" s="46"/>
    </row>
    <row r="200" spans="1:7" ht="15" thickBot="1">
      <c r="A200" s="46"/>
      <c r="B200" s="46"/>
      <c r="C200" s="46"/>
      <c r="D200" s="46"/>
      <c r="E200" s="46"/>
      <c r="F200" s="46"/>
      <c r="G200" s="46"/>
    </row>
    <row r="201" spans="1:7" ht="15" thickBot="1">
      <c r="A201" s="46"/>
      <c r="B201" s="46"/>
      <c r="C201" s="46"/>
      <c r="D201" s="46"/>
      <c r="E201" s="46"/>
      <c r="F201" s="46"/>
      <c r="G201" s="46"/>
    </row>
    <row r="202" spans="1:7" ht="15" thickBot="1">
      <c r="A202" s="46"/>
      <c r="B202" s="46"/>
      <c r="C202" s="46"/>
      <c r="D202" s="46"/>
      <c r="E202" s="46"/>
      <c r="F202" s="46"/>
      <c r="G202" s="46"/>
    </row>
    <row r="203" spans="1:7" ht="15" thickBot="1">
      <c r="A203" s="46"/>
      <c r="B203" s="46"/>
      <c r="C203" s="46"/>
      <c r="D203" s="46"/>
      <c r="E203" s="46"/>
      <c r="F203" s="46"/>
      <c r="G203" s="46"/>
    </row>
    <row r="204" spans="1:7" ht="15" thickBot="1">
      <c r="A204" s="46"/>
      <c r="B204" s="46"/>
      <c r="C204" s="46"/>
      <c r="D204" s="46"/>
      <c r="E204" s="46"/>
      <c r="F204" s="46"/>
      <c r="G204" s="46"/>
    </row>
    <row r="205" spans="1:7" ht="15" thickBot="1">
      <c r="A205" s="46"/>
      <c r="B205" s="46"/>
      <c r="C205" s="46"/>
      <c r="D205" s="46"/>
      <c r="E205" s="46"/>
      <c r="F205" s="46"/>
      <c r="G205" s="46"/>
    </row>
    <row r="206" spans="1:7" ht="15" thickBot="1">
      <c r="A206" s="46"/>
      <c r="B206" s="46"/>
      <c r="C206" s="46"/>
      <c r="D206" s="46"/>
      <c r="E206" s="46"/>
      <c r="F206" s="46"/>
      <c r="G206" s="46"/>
    </row>
    <row r="207" spans="1:7" ht="15" thickBot="1">
      <c r="A207" s="46"/>
      <c r="B207" s="46"/>
      <c r="C207" s="46"/>
      <c r="D207" s="46"/>
      <c r="E207" s="46"/>
      <c r="F207" s="46"/>
      <c r="G207" s="46"/>
    </row>
    <row r="208" spans="1:7" ht="15" thickBot="1">
      <c r="A208" s="46"/>
      <c r="B208" s="46"/>
      <c r="C208" s="46"/>
      <c r="D208" s="46"/>
      <c r="E208" s="46"/>
      <c r="F208" s="46"/>
      <c r="G208" s="46"/>
    </row>
    <row r="209" spans="1:7" ht="15" thickBot="1">
      <c r="A209" s="46"/>
      <c r="B209" s="46"/>
      <c r="C209" s="46"/>
      <c r="D209" s="46"/>
      <c r="E209" s="46"/>
      <c r="F209" s="46"/>
      <c r="G209" s="46"/>
    </row>
    <row r="210" spans="1:7" ht="15" thickBot="1">
      <c r="A210" s="46"/>
      <c r="B210" s="46"/>
      <c r="C210" s="46"/>
      <c r="D210" s="46"/>
      <c r="E210" s="46"/>
      <c r="F210" s="46"/>
      <c r="G210" s="46"/>
    </row>
    <row r="211" spans="1:7" ht="15" thickBot="1">
      <c r="A211" s="46"/>
      <c r="B211" s="46"/>
      <c r="C211" s="46"/>
      <c r="D211" s="46"/>
      <c r="E211" s="46"/>
      <c r="F211" s="46"/>
      <c r="G211" s="46"/>
    </row>
    <row r="212" spans="1:7" ht="15" thickBot="1">
      <c r="A212" s="46"/>
      <c r="B212" s="46"/>
      <c r="C212" s="46"/>
      <c r="D212" s="46"/>
      <c r="E212" s="46"/>
      <c r="F212" s="46"/>
      <c r="G212" s="46"/>
    </row>
    <row r="213" spans="1:7" ht="15" thickBot="1">
      <c r="A213" s="46"/>
      <c r="B213" s="46"/>
      <c r="C213" s="46"/>
      <c r="D213" s="46"/>
      <c r="E213" s="46"/>
      <c r="F213" s="46"/>
      <c r="G213" s="46"/>
    </row>
    <row r="214" spans="1:7" ht="15" thickBot="1">
      <c r="A214" s="46"/>
      <c r="B214" s="46"/>
      <c r="C214" s="46"/>
      <c r="D214" s="46"/>
      <c r="E214" s="46"/>
      <c r="F214" s="46"/>
      <c r="G214" s="46"/>
    </row>
    <row r="215" spans="1:7" ht="15" thickBot="1">
      <c r="A215" s="46"/>
      <c r="B215" s="46"/>
      <c r="C215" s="46"/>
      <c r="D215" s="46"/>
      <c r="E215" s="46"/>
      <c r="F215" s="46"/>
      <c r="G215" s="46"/>
    </row>
    <row r="216" spans="1:7" ht="15" thickBot="1">
      <c r="A216" s="46"/>
      <c r="B216" s="46"/>
      <c r="C216" s="46"/>
      <c r="D216" s="46"/>
      <c r="E216" s="46"/>
      <c r="F216" s="46"/>
      <c r="G216" s="46"/>
    </row>
    <row r="217" spans="1:7" ht="15" thickBot="1">
      <c r="A217" s="46"/>
      <c r="B217" s="46"/>
      <c r="C217" s="46"/>
      <c r="D217" s="46"/>
      <c r="E217" s="46"/>
      <c r="F217" s="46"/>
      <c r="G217" s="46"/>
    </row>
    <row r="218" spans="1:7" ht="15" thickBot="1">
      <c r="A218" s="46"/>
      <c r="B218" s="46"/>
      <c r="C218" s="46"/>
      <c r="D218" s="46"/>
      <c r="E218" s="46"/>
      <c r="F218" s="46"/>
      <c r="G218" s="46"/>
    </row>
    <row r="219" spans="1:7" ht="15" thickBot="1">
      <c r="A219" s="46"/>
      <c r="B219" s="46"/>
      <c r="C219" s="46"/>
      <c r="D219" s="46"/>
      <c r="E219" s="46"/>
      <c r="F219" s="46"/>
      <c r="G219" s="46"/>
    </row>
    <row r="220" spans="1:7" ht="15" thickBot="1">
      <c r="A220" s="46"/>
      <c r="B220" s="46"/>
      <c r="C220" s="46"/>
      <c r="D220" s="46"/>
      <c r="E220" s="46"/>
      <c r="F220" s="46"/>
      <c r="G220" s="46"/>
    </row>
    <row r="221" spans="1:7" ht="15" thickBot="1">
      <c r="A221" s="46"/>
      <c r="B221" s="46"/>
      <c r="C221" s="46"/>
      <c r="D221" s="46"/>
      <c r="E221" s="46"/>
      <c r="F221" s="46"/>
      <c r="G221" s="46"/>
    </row>
    <row r="222" spans="1:7" ht="15" thickBot="1">
      <c r="A222" s="46"/>
      <c r="B222" s="46"/>
      <c r="C222" s="46"/>
      <c r="D222" s="46"/>
      <c r="E222" s="46"/>
      <c r="F222" s="46"/>
      <c r="G222" s="46"/>
    </row>
    <row r="223" spans="1:7" ht="15" thickBot="1">
      <c r="A223" s="46"/>
      <c r="B223" s="46"/>
      <c r="C223" s="46"/>
      <c r="D223" s="46"/>
      <c r="E223" s="46"/>
      <c r="F223" s="46"/>
      <c r="G223" s="46"/>
    </row>
    <row r="224" spans="1:7" ht="15" thickBot="1">
      <c r="A224" s="46"/>
      <c r="B224" s="46"/>
      <c r="C224" s="46"/>
      <c r="D224" s="46"/>
      <c r="E224" s="46"/>
      <c r="F224" s="46"/>
      <c r="G224" s="46"/>
    </row>
    <row r="225" spans="1:7" ht="15" thickBot="1">
      <c r="A225" s="46"/>
      <c r="B225" s="46"/>
      <c r="C225" s="46"/>
      <c r="D225" s="46"/>
      <c r="E225" s="46"/>
      <c r="F225" s="46"/>
      <c r="G225" s="46"/>
    </row>
    <row r="226" spans="1:7" ht="15" thickBot="1">
      <c r="A226" s="46"/>
      <c r="B226" s="46"/>
      <c r="C226" s="46"/>
      <c r="D226" s="46"/>
      <c r="E226" s="46"/>
      <c r="F226" s="46"/>
      <c r="G226" s="46"/>
    </row>
    <row r="227" spans="1:7" ht="15" thickBot="1">
      <c r="A227" s="46"/>
      <c r="B227" s="46"/>
      <c r="C227" s="46"/>
      <c r="D227" s="46"/>
      <c r="E227" s="46"/>
      <c r="F227" s="46"/>
      <c r="G227" s="46"/>
    </row>
    <row r="228" spans="1:7" ht="15" thickBot="1">
      <c r="A228" s="46"/>
      <c r="B228" s="46"/>
      <c r="C228" s="46"/>
      <c r="D228" s="46"/>
      <c r="E228" s="46"/>
      <c r="F228" s="46"/>
      <c r="G228" s="46"/>
    </row>
    <row r="229" spans="1:7" ht="15" thickBot="1">
      <c r="A229" s="46"/>
      <c r="B229" s="46"/>
      <c r="C229" s="46"/>
      <c r="D229" s="46"/>
      <c r="E229" s="46"/>
      <c r="F229" s="46"/>
      <c r="G229" s="46"/>
    </row>
    <row r="230" spans="1:7" ht="15" thickBot="1">
      <c r="A230" s="46"/>
      <c r="B230" s="46"/>
      <c r="C230" s="46"/>
      <c r="D230" s="46"/>
      <c r="E230" s="46"/>
      <c r="F230" s="46"/>
      <c r="G230" s="46"/>
    </row>
    <row r="231" spans="1:7" ht="15" thickBot="1">
      <c r="A231" s="46"/>
      <c r="B231" s="46"/>
      <c r="C231" s="46"/>
      <c r="D231" s="46"/>
      <c r="E231" s="46"/>
      <c r="F231" s="46"/>
      <c r="G231" s="46"/>
    </row>
    <row r="232" spans="1:7" ht="15" thickBot="1">
      <c r="A232" s="46"/>
      <c r="B232" s="46"/>
      <c r="C232" s="46"/>
      <c r="D232" s="46"/>
      <c r="E232" s="46"/>
      <c r="F232" s="46"/>
      <c r="G232" s="46"/>
    </row>
    <row r="233" spans="1:7" ht="15" thickBot="1">
      <c r="A233" s="46"/>
      <c r="B233" s="46"/>
      <c r="C233" s="46"/>
      <c r="D233" s="46"/>
      <c r="E233" s="46"/>
      <c r="F233" s="46"/>
      <c r="G233" s="46"/>
    </row>
    <row r="234" spans="1:7" ht="15" thickBot="1">
      <c r="A234" s="46"/>
      <c r="B234" s="46"/>
      <c r="C234" s="46"/>
      <c r="D234" s="46"/>
      <c r="E234" s="46"/>
      <c r="F234" s="46"/>
      <c r="G234" s="46"/>
    </row>
    <row r="235" spans="1:7" ht="15" thickBot="1">
      <c r="A235" s="46"/>
      <c r="B235" s="46"/>
      <c r="C235" s="46"/>
      <c r="D235" s="46"/>
      <c r="E235" s="46"/>
      <c r="F235" s="46"/>
      <c r="G235" s="46"/>
    </row>
    <row r="236" spans="1:7" ht="15" thickBot="1">
      <c r="A236" s="46"/>
      <c r="B236" s="46"/>
      <c r="C236" s="46"/>
      <c r="D236" s="46"/>
      <c r="E236" s="46"/>
      <c r="F236" s="46"/>
      <c r="G236" s="46"/>
    </row>
    <row r="237" spans="1:7" ht="15" thickBot="1">
      <c r="A237" s="46"/>
      <c r="B237" s="46"/>
      <c r="C237" s="46"/>
      <c r="D237" s="46"/>
      <c r="E237" s="46"/>
      <c r="F237" s="46"/>
      <c r="G237" s="46"/>
    </row>
    <row r="238" spans="1:7" ht="15" thickBot="1">
      <c r="A238" s="46"/>
      <c r="B238" s="46"/>
      <c r="C238" s="46"/>
      <c r="D238" s="46"/>
      <c r="E238" s="46"/>
      <c r="F238" s="46"/>
      <c r="G238" s="46"/>
    </row>
    <row r="239" spans="1:7" ht="15" thickBot="1">
      <c r="A239" s="46"/>
      <c r="B239" s="46"/>
      <c r="C239" s="46"/>
      <c r="D239" s="46"/>
      <c r="E239" s="46"/>
      <c r="F239" s="46"/>
      <c r="G239" s="46"/>
    </row>
    <row r="240" spans="1:7" ht="15" thickBot="1">
      <c r="A240" s="46"/>
      <c r="B240" s="46"/>
      <c r="C240" s="46"/>
      <c r="D240" s="46"/>
      <c r="E240" s="46"/>
      <c r="F240" s="46"/>
      <c r="G240" s="46"/>
    </row>
    <row r="241" spans="1:7" ht="15" thickBot="1">
      <c r="A241" s="46"/>
      <c r="B241" s="46"/>
      <c r="C241" s="46"/>
      <c r="D241" s="46"/>
      <c r="E241" s="46"/>
      <c r="F241" s="46"/>
      <c r="G241" s="46"/>
    </row>
    <row r="242" spans="1:7" ht="15" thickBot="1">
      <c r="A242" s="46"/>
      <c r="B242" s="46"/>
      <c r="C242" s="46"/>
      <c r="D242" s="46"/>
      <c r="E242" s="46"/>
      <c r="F242" s="46"/>
      <c r="G242" s="46"/>
    </row>
    <row r="243" spans="1:7" ht="15" thickBot="1">
      <c r="A243" s="46"/>
      <c r="B243" s="46"/>
      <c r="C243" s="46"/>
      <c r="D243" s="46"/>
      <c r="E243" s="46"/>
      <c r="F243" s="46"/>
      <c r="G243" s="46"/>
    </row>
    <row r="244" spans="1:7" ht="15" thickBot="1">
      <c r="A244" s="46"/>
      <c r="B244" s="46"/>
      <c r="C244" s="46"/>
      <c r="D244" s="46"/>
      <c r="E244" s="46"/>
      <c r="F244" s="46"/>
      <c r="G244" s="46"/>
    </row>
    <row r="245" spans="1:7" ht="15" thickBot="1">
      <c r="A245" s="46"/>
      <c r="B245" s="46"/>
      <c r="C245" s="46"/>
      <c r="D245" s="46"/>
      <c r="E245" s="46"/>
      <c r="F245" s="46"/>
      <c r="G245" s="46"/>
    </row>
    <row r="246" spans="1:7" ht="15" thickBot="1">
      <c r="A246" s="46"/>
      <c r="B246" s="46"/>
      <c r="C246" s="46"/>
      <c r="D246" s="46"/>
      <c r="E246" s="46"/>
      <c r="F246" s="46"/>
      <c r="G246" s="46"/>
    </row>
    <row r="247" spans="1:7" ht="15" thickBot="1">
      <c r="A247" s="46"/>
      <c r="B247" s="46"/>
      <c r="C247" s="46"/>
      <c r="D247" s="46"/>
      <c r="E247" s="46"/>
      <c r="F247" s="46"/>
      <c r="G247" s="46"/>
    </row>
    <row r="248" spans="1:7" ht="15" thickBot="1">
      <c r="A248" s="46"/>
      <c r="B248" s="46"/>
      <c r="C248" s="46"/>
      <c r="D248" s="46"/>
      <c r="E248" s="46"/>
      <c r="F248" s="46"/>
      <c r="G248" s="46"/>
    </row>
    <row r="249" spans="1:7" ht="15" thickBot="1">
      <c r="A249" s="46"/>
      <c r="B249" s="46"/>
      <c r="C249" s="46"/>
      <c r="D249" s="46"/>
      <c r="E249" s="46"/>
      <c r="F249" s="46"/>
      <c r="G249" s="46"/>
    </row>
    <row r="250" spans="1:7" ht="15" thickBot="1">
      <c r="A250" s="46"/>
      <c r="B250" s="46"/>
      <c r="C250" s="46"/>
      <c r="D250" s="46"/>
      <c r="E250" s="46"/>
      <c r="F250" s="46"/>
      <c r="G250" s="46"/>
    </row>
    <row r="251" spans="1:7" ht="15" thickBot="1">
      <c r="A251" s="46"/>
      <c r="B251" s="46"/>
      <c r="C251" s="46"/>
      <c r="D251" s="46"/>
      <c r="E251" s="46"/>
      <c r="F251" s="46"/>
      <c r="G251" s="46"/>
    </row>
    <row r="252" spans="1:7" ht="15" thickBot="1">
      <c r="A252" s="46"/>
      <c r="B252" s="46"/>
      <c r="C252" s="46"/>
      <c r="D252" s="46"/>
      <c r="E252" s="46"/>
      <c r="F252" s="46"/>
      <c r="G252" s="46"/>
    </row>
    <row r="253" spans="1:7" ht="15" thickBot="1">
      <c r="A253" s="46"/>
      <c r="B253" s="46"/>
      <c r="C253" s="46"/>
      <c r="D253" s="46"/>
      <c r="E253" s="46"/>
      <c r="F253" s="46"/>
      <c r="G253" s="46"/>
    </row>
    <row r="254" spans="1:7" ht="15" thickBot="1">
      <c r="A254" s="46"/>
      <c r="B254" s="46"/>
      <c r="C254" s="46"/>
      <c r="D254" s="46"/>
      <c r="E254" s="46"/>
      <c r="F254" s="46"/>
      <c r="G254" s="46"/>
    </row>
    <row r="255" spans="1:7" ht="15" thickBot="1">
      <c r="A255" s="46"/>
      <c r="B255" s="46"/>
      <c r="C255" s="46"/>
      <c r="D255" s="46"/>
      <c r="E255" s="46"/>
      <c r="F255" s="46"/>
      <c r="G255" s="46"/>
    </row>
    <row r="256" spans="1:7" ht="15" thickBot="1">
      <c r="A256" s="46"/>
      <c r="B256" s="46"/>
      <c r="C256" s="46"/>
      <c r="D256" s="46"/>
      <c r="E256" s="46"/>
      <c r="F256" s="46"/>
      <c r="G256" s="46"/>
    </row>
    <row r="257" spans="1:7" ht="15" thickBot="1">
      <c r="A257" s="46"/>
      <c r="B257" s="46"/>
      <c r="C257" s="46"/>
      <c r="D257" s="46"/>
      <c r="E257" s="46"/>
      <c r="F257" s="46"/>
      <c r="G257" s="46"/>
    </row>
    <row r="258" spans="1:7" ht="15" thickBot="1">
      <c r="A258" s="46"/>
      <c r="B258" s="46"/>
      <c r="C258" s="46"/>
      <c r="D258" s="46"/>
      <c r="E258" s="46"/>
      <c r="F258" s="46"/>
      <c r="G258" s="46"/>
    </row>
    <row r="259" spans="1:7" ht="15" thickBot="1">
      <c r="A259" s="46"/>
      <c r="B259" s="46"/>
      <c r="C259" s="46"/>
      <c r="D259" s="46"/>
      <c r="E259" s="46"/>
      <c r="F259" s="46"/>
      <c r="G259" s="46"/>
    </row>
    <row r="260" spans="1:7" ht="15" thickBot="1">
      <c r="A260" s="46"/>
      <c r="B260" s="46"/>
      <c r="C260" s="46"/>
      <c r="D260" s="46"/>
      <c r="E260" s="46"/>
      <c r="F260" s="46"/>
      <c r="G260" s="46"/>
    </row>
    <row r="261" spans="1:7" ht="15" thickBot="1">
      <c r="A261" s="46"/>
      <c r="B261" s="46"/>
      <c r="C261" s="46"/>
      <c r="D261" s="46"/>
      <c r="E261" s="46"/>
      <c r="F261" s="46"/>
      <c r="G261" s="46"/>
    </row>
    <row r="262" spans="1:7" ht="15" thickBot="1">
      <c r="A262" s="46"/>
      <c r="B262" s="46"/>
      <c r="C262" s="46"/>
      <c r="D262" s="46"/>
      <c r="E262" s="46"/>
      <c r="F262" s="46"/>
      <c r="G262" s="46"/>
    </row>
    <row r="263" spans="1:7" ht="15" thickBot="1">
      <c r="A263" s="46"/>
      <c r="B263" s="46"/>
      <c r="C263" s="46"/>
      <c r="D263" s="46"/>
      <c r="E263" s="46"/>
      <c r="F263" s="46"/>
      <c r="G263" s="46"/>
    </row>
    <row r="264" spans="1:7" ht="15" thickBot="1">
      <c r="A264" s="46"/>
      <c r="B264" s="46"/>
      <c r="C264" s="46"/>
      <c r="D264" s="46"/>
      <c r="E264" s="46"/>
      <c r="F264" s="46"/>
      <c r="G264" s="46"/>
    </row>
    <row r="265" spans="1:7" ht="15" thickBot="1">
      <c r="A265" s="46"/>
      <c r="B265" s="46"/>
      <c r="C265" s="46"/>
      <c r="D265" s="46"/>
      <c r="E265" s="46"/>
      <c r="F265" s="46"/>
      <c r="G265" s="46"/>
    </row>
    <row r="266" spans="1:7" ht="15" thickBot="1">
      <c r="A266" s="46"/>
      <c r="B266" s="46"/>
      <c r="C266" s="46"/>
      <c r="D266" s="46"/>
      <c r="E266" s="46"/>
      <c r="F266" s="46"/>
      <c r="G266" s="46"/>
    </row>
    <row r="267" spans="1:7" ht="15" thickBot="1">
      <c r="A267" s="46"/>
      <c r="B267" s="46"/>
      <c r="C267" s="46"/>
      <c r="D267" s="46"/>
      <c r="E267" s="46"/>
      <c r="F267" s="46"/>
      <c r="G267" s="46"/>
    </row>
    <row r="268" spans="1:7" ht="15" thickBot="1">
      <c r="A268" s="46"/>
      <c r="B268" s="46"/>
      <c r="C268" s="46"/>
      <c r="D268" s="46"/>
      <c r="E268" s="46"/>
      <c r="F268" s="46"/>
      <c r="G268" s="46"/>
    </row>
    <row r="269" spans="1:7" ht="15" thickBot="1">
      <c r="A269" s="46"/>
      <c r="B269" s="46"/>
      <c r="C269" s="46"/>
      <c r="D269" s="46"/>
      <c r="E269" s="46"/>
      <c r="F269" s="46"/>
      <c r="G269" s="46"/>
    </row>
    <row r="270" spans="1:7" ht="15" thickBot="1">
      <c r="A270" s="46"/>
      <c r="B270" s="46"/>
      <c r="C270" s="46"/>
      <c r="D270" s="46"/>
      <c r="E270" s="46"/>
      <c r="F270" s="46"/>
      <c r="G270" s="46"/>
    </row>
    <row r="271" spans="1:7" ht="15" thickBot="1">
      <c r="A271" s="46"/>
      <c r="B271" s="46"/>
      <c r="C271" s="46"/>
      <c r="D271" s="46"/>
      <c r="E271" s="46"/>
      <c r="F271" s="46"/>
      <c r="G271" s="46"/>
    </row>
    <row r="272" spans="1:7" ht="15" thickBot="1">
      <c r="A272" s="46"/>
      <c r="B272" s="46"/>
      <c r="C272" s="46"/>
      <c r="D272" s="46"/>
      <c r="E272" s="46"/>
      <c r="F272" s="46"/>
      <c r="G272" s="46"/>
    </row>
    <row r="273" spans="1:7" ht="15" thickBot="1">
      <c r="A273" s="46"/>
      <c r="B273" s="46"/>
      <c r="C273" s="46"/>
      <c r="D273" s="46"/>
      <c r="E273" s="46"/>
      <c r="F273" s="46"/>
      <c r="G273" s="46"/>
    </row>
    <row r="274" spans="1:7" ht="15" thickBot="1">
      <c r="A274" s="46"/>
      <c r="B274" s="46"/>
      <c r="C274" s="46"/>
      <c r="D274" s="46"/>
      <c r="E274" s="46"/>
      <c r="F274" s="46"/>
      <c r="G274" s="46"/>
    </row>
    <row r="275" spans="1:7" ht="15" thickBot="1">
      <c r="A275" s="46"/>
      <c r="B275" s="46"/>
      <c r="C275" s="46"/>
      <c r="D275" s="46"/>
      <c r="E275" s="46"/>
      <c r="F275" s="46"/>
      <c r="G275" s="46"/>
    </row>
    <row r="276" spans="1:7" ht="15" thickBot="1">
      <c r="A276" s="46"/>
      <c r="B276" s="46"/>
      <c r="C276" s="46"/>
      <c r="D276" s="46"/>
      <c r="E276" s="46"/>
      <c r="F276" s="46"/>
      <c r="G276" s="46"/>
    </row>
    <row r="277" spans="1:7" ht="15" thickBot="1">
      <c r="A277" s="46"/>
      <c r="B277" s="46"/>
      <c r="C277" s="46"/>
      <c r="D277" s="46"/>
      <c r="E277" s="46"/>
      <c r="F277" s="46"/>
      <c r="G277" s="46"/>
    </row>
    <row r="278" spans="1:7" ht="15" thickBot="1">
      <c r="A278" s="46"/>
      <c r="B278" s="46"/>
      <c r="C278" s="46"/>
      <c r="D278" s="46"/>
      <c r="E278" s="46"/>
      <c r="F278" s="46"/>
      <c r="G278" s="46"/>
    </row>
    <row r="279" spans="1:7" ht="15" thickBot="1">
      <c r="A279" s="46"/>
      <c r="B279" s="46"/>
      <c r="C279" s="46"/>
      <c r="D279" s="46"/>
      <c r="E279" s="46"/>
      <c r="F279" s="46"/>
      <c r="G279" s="46"/>
    </row>
    <row r="280" spans="1:7" ht="15" thickBot="1">
      <c r="A280" s="46"/>
      <c r="B280" s="46"/>
      <c r="C280" s="46"/>
      <c r="D280" s="46"/>
      <c r="E280" s="46"/>
      <c r="F280" s="46"/>
      <c r="G280" s="46"/>
    </row>
    <row r="281" spans="1:7" ht="15" thickBot="1">
      <c r="A281" s="46"/>
      <c r="B281" s="46"/>
      <c r="C281" s="46"/>
      <c r="D281" s="46"/>
      <c r="E281" s="46"/>
      <c r="F281" s="46"/>
      <c r="G281" s="46"/>
    </row>
    <row r="282" spans="1:7" ht="15" thickBot="1">
      <c r="A282" s="46"/>
      <c r="B282" s="46"/>
      <c r="C282" s="46"/>
      <c r="D282" s="46"/>
      <c r="E282" s="46"/>
      <c r="F282" s="46"/>
      <c r="G282" s="46"/>
    </row>
    <row r="283" spans="1:7" ht="15" thickBot="1">
      <c r="A283" s="46"/>
      <c r="B283" s="46"/>
      <c r="C283" s="46"/>
      <c r="D283" s="46"/>
      <c r="E283" s="46"/>
      <c r="F283" s="46"/>
      <c r="G283" s="46"/>
    </row>
    <row r="284" spans="1:7" ht="15" thickBot="1">
      <c r="A284" s="46"/>
      <c r="B284" s="46"/>
      <c r="C284" s="46"/>
      <c r="D284" s="46"/>
      <c r="E284" s="46"/>
      <c r="F284" s="46"/>
      <c r="G284" s="46"/>
    </row>
    <row r="285" spans="1:7" ht="15" thickBot="1">
      <c r="A285" s="46"/>
      <c r="B285" s="46"/>
      <c r="C285" s="46"/>
      <c r="D285" s="46"/>
      <c r="E285" s="46"/>
      <c r="F285" s="46"/>
      <c r="G285" s="46"/>
    </row>
    <row r="286" spans="1:7" ht="15" thickBot="1">
      <c r="A286" s="46"/>
      <c r="B286" s="46"/>
      <c r="C286" s="46"/>
      <c r="D286" s="46"/>
      <c r="E286" s="46"/>
      <c r="F286" s="46"/>
      <c r="G286" s="46"/>
    </row>
    <row r="287" spans="1:7" ht="15" thickBot="1">
      <c r="A287" s="46"/>
      <c r="B287" s="46"/>
      <c r="C287" s="46"/>
      <c r="D287" s="46"/>
      <c r="E287" s="46"/>
      <c r="F287" s="46"/>
      <c r="G287" s="46"/>
    </row>
    <row r="288" spans="1:7" ht="15" thickBot="1">
      <c r="A288" s="46"/>
      <c r="B288" s="46"/>
      <c r="C288" s="46"/>
      <c r="D288" s="46"/>
      <c r="E288" s="46"/>
      <c r="F288" s="46"/>
      <c r="G288" s="46"/>
    </row>
    <row r="289" spans="1:7" ht="15" thickBot="1">
      <c r="A289" s="46"/>
      <c r="B289" s="46"/>
      <c r="C289" s="46"/>
      <c r="D289" s="46"/>
      <c r="E289" s="46"/>
      <c r="F289" s="46"/>
      <c r="G289" s="46"/>
    </row>
    <row r="290" spans="1:7" ht="15" thickBot="1">
      <c r="A290" s="46"/>
      <c r="B290" s="46"/>
      <c r="C290" s="46"/>
      <c r="D290" s="46"/>
      <c r="E290" s="46"/>
      <c r="F290" s="46"/>
      <c r="G290" s="46"/>
    </row>
    <row r="291" spans="1:7" ht="15" thickBot="1">
      <c r="A291" s="46"/>
      <c r="B291" s="46"/>
      <c r="C291" s="46"/>
      <c r="D291" s="46"/>
      <c r="E291" s="46"/>
      <c r="F291" s="46"/>
      <c r="G291" s="46"/>
    </row>
    <row r="292" spans="1:7" ht="15" thickBot="1">
      <c r="A292" s="46"/>
      <c r="B292" s="46"/>
      <c r="C292" s="46"/>
      <c r="D292" s="46"/>
      <c r="E292" s="46"/>
      <c r="F292" s="46"/>
      <c r="G292" s="46"/>
    </row>
    <row r="293" spans="1:7" ht="15" thickBot="1">
      <c r="A293" s="46"/>
      <c r="B293" s="46"/>
      <c r="C293" s="46"/>
      <c r="D293" s="46"/>
      <c r="E293" s="46"/>
      <c r="F293" s="46"/>
      <c r="G293" s="46"/>
    </row>
    <row r="294" spans="1:7" ht="15" thickBot="1">
      <c r="A294" s="46"/>
      <c r="B294" s="46"/>
      <c r="C294" s="46"/>
      <c r="D294" s="46"/>
      <c r="E294" s="46"/>
      <c r="F294" s="46"/>
      <c r="G294" s="46"/>
    </row>
    <row r="295" spans="1:7" ht="15" thickBot="1">
      <c r="A295" s="46"/>
      <c r="B295" s="46"/>
      <c r="C295" s="46"/>
      <c r="D295" s="46"/>
      <c r="E295" s="46"/>
      <c r="F295" s="46"/>
      <c r="G295" s="46"/>
    </row>
    <row r="296" spans="1:7" ht="15" thickBot="1">
      <c r="A296" s="46"/>
      <c r="B296" s="46"/>
      <c r="C296" s="46"/>
      <c r="D296" s="46"/>
      <c r="E296" s="46"/>
      <c r="F296" s="46"/>
      <c r="G296" s="46"/>
    </row>
    <row r="297" spans="1:7" ht="15" thickBot="1">
      <c r="A297" s="46"/>
      <c r="B297" s="46"/>
      <c r="C297" s="46"/>
      <c r="D297" s="46"/>
      <c r="E297" s="46"/>
      <c r="F297" s="46"/>
      <c r="G297" s="46"/>
    </row>
    <row r="298" spans="1:7" ht="15" thickBot="1">
      <c r="A298" s="46"/>
      <c r="B298" s="46"/>
      <c r="C298" s="46"/>
      <c r="D298" s="46"/>
      <c r="E298" s="46"/>
      <c r="F298" s="46"/>
      <c r="G298" s="46"/>
    </row>
    <row r="299" spans="1:7" ht="15" thickBot="1">
      <c r="A299" s="46"/>
      <c r="B299" s="46"/>
      <c r="C299" s="46"/>
      <c r="D299" s="46"/>
      <c r="E299" s="46"/>
      <c r="F299" s="46"/>
      <c r="G299" s="46"/>
    </row>
    <row r="300" spans="1:7" ht="15" thickBot="1">
      <c r="A300" s="46"/>
      <c r="B300" s="46"/>
      <c r="C300" s="46"/>
      <c r="D300" s="46"/>
      <c r="E300" s="46"/>
      <c r="F300" s="46"/>
      <c r="G300" s="46"/>
    </row>
    <row r="301" spans="1:7" ht="15" thickBot="1">
      <c r="A301" s="46"/>
      <c r="B301" s="46"/>
      <c r="C301" s="46"/>
      <c r="D301" s="46"/>
      <c r="E301" s="46"/>
      <c r="F301" s="46"/>
      <c r="G301" s="46"/>
    </row>
    <row r="302" spans="1:7" ht="15" thickBot="1">
      <c r="A302" s="46"/>
      <c r="B302" s="46"/>
      <c r="C302" s="46"/>
      <c r="D302" s="46"/>
      <c r="E302" s="46"/>
      <c r="F302" s="46"/>
      <c r="G302" s="46"/>
    </row>
    <row r="303" spans="1:7" ht="15" thickBot="1">
      <c r="A303" s="46"/>
      <c r="B303" s="46"/>
      <c r="C303" s="46"/>
      <c r="D303" s="46"/>
      <c r="E303" s="46"/>
      <c r="F303" s="46"/>
      <c r="G303" s="46"/>
    </row>
    <row r="304" spans="1:7" ht="15" thickBot="1">
      <c r="A304" s="46"/>
      <c r="B304" s="46"/>
      <c r="C304" s="46"/>
      <c r="D304" s="46"/>
      <c r="E304" s="46"/>
      <c r="F304" s="46"/>
      <c r="G304" s="46"/>
    </row>
    <row r="305" spans="1:7" ht="15" thickBot="1">
      <c r="A305" s="46"/>
      <c r="B305" s="46"/>
      <c r="C305" s="46"/>
      <c r="D305" s="46"/>
      <c r="E305" s="46"/>
      <c r="F305" s="46"/>
      <c r="G305" s="46"/>
    </row>
    <row r="306" spans="1:7" ht="15" thickBot="1">
      <c r="A306" s="46"/>
      <c r="B306" s="46"/>
      <c r="C306" s="46"/>
      <c r="D306" s="46"/>
      <c r="E306" s="46"/>
      <c r="F306" s="46"/>
      <c r="G306" s="46"/>
    </row>
    <row r="307" spans="1:7" ht="15" thickBot="1">
      <c r="A307" s="46"/>
      <c r="B307" s="46"/>
      <c r="C307" s="46"/>
      <c r="D307" s="46"/>
      <c r="E307" s="46"/>
      <c r="F307" s="46"/>
      <c r="G307" s="46"/>
    </row>
    <row r="308" spans="1:7" ht="15" thickBot="1">
      <c r="A308" s="46"/>
      <c r="B308" s="46"/>
      <c r="C308" s="46"/>
      <c r="D308" s="46"/>
      <c r="E308" s="46"/>
      <c r="F308" s="46"/>
      <c r="G308" s="46"/>
    </row>
    <row r="309" spans="1:7" ht="15" thickBot="1">
      <c r="A309" s="46"/>
      <c r="B309" s="46"/>
      <c r="C309" s="46"/>
      <c r="D309" s="46"/>
      <c r="E309" s="46"/>
      <c r="F309" s="46"/>
      <c r="G309" s="46"/>
    </row>
    <row r="310" spans="1:7" ht="15" thickBot="1">
      <c r="A310" s="46"/>
      <c r="B310" s="46"/>
      <c r="C310" s="46"/>
      <c r="D310" s="46"/>
      <c r="E310" s="46"/>
      <c r="F310" s="46"/>
      <c r="G310" s="46"/>
    </row>
    <row r="311" spans="1:7" ht="15" thickBot="1">
      <c r="A311" s="46"/>
      <c r="B311" s="46"/>
      <c r="C311" s="46"/>
      <c r="D311" s="46"/>
      <c r="E311" s="46"/>
      <c r="F311" s="46"/>
      <c r="G311" s="46"/>
    </row>
    <row r="312" spans="1:7" ht="15" thickBot="1">
      <c r="A312" s="46"/>
      <c r="B312" s="46"/>
      <c r="C312" s="46"/>
      <c r="D312" s="46"/>
      <c r="E312" s="46"/>
      <c r="F312" s="46"/>
      <c r="G312" s="46"/>
    </row>
    <row r="313" spans="1:7" ht="15" thickBot="1">
      <c r="A313" s="46"/>
      <c r="B313" s="46"/>
      <c r="C313" s="46"/>
      <c r="D313" s="46"/>
      <c r="E313" s="46"/>
      <c r="F313" s="46"/>
      <c r="G313" s="46"/>
    </row>
    <row r="314" spans="1:7" ht="15" thickBot="1">
      <c r="A314" s="46"/>
      <c r="B314" s="46"/>
      <c r="C314" s="46"/>
      <c r="D314" s="46"/>
      <c r="E314" s="46"/>
      <c r="F314" s="46"/>
      <c r="G314" s="46"/>
    </row>
    <row r="315" spans="1:7" ht="15" thickBot="1">
      <c r="A315" s="46"/>
      <c r="B315" s="46"/>
      <c r="C315" s="46"/>
      <c r="D315" s="46"/>
      <c r="E315" s="46"/>
      <c r="F315" s="46"/>
      <c r="G315" s="46"/>
    </row>
    <row r="316" spans="1:7" ht="15" thickBot="1">
      <c r="A316" s="46"/>
      <c r="B316" s="46"/>
      <c r="C316" s="46"/>
      <c r="D316" s="46"/>
      <c r="E316" s="46"/>
      <c r="F316" s="46"/>
      <c r="G316" s="46"/>
    </row>
    <row r="317" spans="1:7" ht="15" thickBot="1">
      <c r="A317" s="46"/>
      <c r="B317" s="46"/>
      <c r="C317" s="46"/>
      <c r="D317" s="46"/>
      <c r="E317" s="46"/>
      <c r="F317" s="46"/>
      <c r="G317" s="46"/>
    </row>
    <row r="318" spans="1:7" ht="15" thickBot="1">
      <c r="A318" s="46"/>
      <c r="B318" s="46"/>
      <c r="C318" s="46"/>
      <c r="D318" s="46"/>
      <c r="E318" s="46"/>
      <c r="F318" s="46"/>
      <c r="G318" s="46"/>
    </row>
    <row r="319" spans="1:7" ht="15" thickBot="1">
      <c r="A319" s="46"/>
      <c r="B319" s="46"/>
      <c r="C319" s="46"/>
      <c r="D319" s="46"/>
      <c r="E319" s="46"/>
      <c r="F319" s="46"/>
      <c r="G319" s="46"/>
    </row>
    <row r="320" spans="1:7" ht="15" thickBot="1">
      <c r="A320" s="46"/>
      <c r="B320" s="46"/>
      <c r="C320" s="46"/>
      <c r="D320" s="46"/>
      <c r="E320" s="46"/>
      <c r="F320" s="46"/>
      <c r="G320" s="46"/>
    </row>
    <row r="321" spans="1:7" ht="15" thickBot="1">
      <c r="A321" s="46"/>
      <c r="B321" s="46"/>
      <c r="C321" s="46"/>
      <c r="D321" s="46"/>
      <c r="E321" s="46"/>
      <c r="F321" s="46"/>
      <c r="G321" s="46"/>
    </row>
    <row r="322" spans="1:7" ht="15" thickBot="1">
      <c r="A322" s="46"/>
      <c r="B322" s="46"/>
      <c r="C322" s="46"/>
      <c r="D322" s="46"/>
      <c r="E322" s="46"/>
      <c r="F322" s="46"/>
      <c r="G322" s="46"/>
    </row>
    <row r="323" spans="1:7" ht="15" thickBot="1">
      <c r="A323" s="46"/>
      <c r="B323" s="46"/>
      <c r="C323" s="46"/>
      <c r="D323" s="46"/>
      <c r="E323" s="46"/>
      <c r="F323" s="46"/>
      <c r="G323" s="46"/>
    </row>
    <row r="324" spans="1:7" ht="15" thickBot="1">
      <c r="A324" s="46"/>
      <c r="B324" s="46"/>
      <c r="C324" s="46"/>
      <c r="D324" s="46"/>
      <c r="E324" s="46"/>
      <c r="F324" s="46"/>
      <c r="G324" s="46"/>
    </row>
    <row r="325" spans="1:7" ht="15" thickBot="1">
      <c r="A325" s="46"/>
      <c r="B325" s="46"/>
      <c r="C325" s="46"/>
      <c r="D325" s="46"/>
      <c r="E325" s="46"/>
      <c r="F325" s="46"/>
      <c r="G325" s="46"/>
    </row>
    <row r="326" spans="1:7" ht="15" thickBot="1">
      <c r="A326" s="46"/>
      <c r="B326" s="46"/>
      <c r="C326" s="46"/>
      <c r="D326" s="46"/>
      <c r="E326" s="46"/>
      <c r="F326" s="46"/>
      <c r="G326" s="46"/>
    </row>
    <row r="327" spans="1:7" ht="15" thickBot="1">
      <c r="A327" s="46"/>
      <c r="B327" s="46"/>
      <c r="C327" s="46"/>
      <c r="D327" s="46"/>
      <c r="E327" s="46"/>
      <c r="F327" s="46"/>
      <c r="G327" s="46"/>
    </row>
    <row r="328" spans="1:7" ht="15" thickBot="1">
      <c r="A328" s="46"/>
      <c r="B328" s="46"/>
      <c r="C328" s="46"/>
      <c r="D328" s="46"/>
      <c r="E328" s="46"/>
      <c r="F328" s="46"/>
      <c r="G328" s="46"/>
    </row>
    <row r="329" spans="1:7" ht="15" thickBot="1">
      <c r="A329" s="46"/>
      <c r="B329" s="46"/>
      <c r="C329" s="46"/>
      <c r="D329" s="46"/>
      <c r="E329" s="46"/>
      <c r="F329" s="46"/>
      <c r="G329" s="46"/>
    </row>
    <row r="330" spans="1:7" ht="15" thickBot="1">
      <c r="A330" s="46"/>
      <c r="B330" s="46"/>
      <c r="C330" s="46"/>
      <c r="D330" s="46"/>
      <c r="E330" s="46"/>
      <c r="F330" s="46"/>
      <c r="G330" s="46"/>
    </row>
    <row r="331" spans="1:7" ht="15" thickBot="1">
      <c r="A331" s="46"/>
      <c r="B331" s="46"/>
      <c r="C331" s="46"/>
      <c r="D331" s="46"/>
      <c r="E331" s="46"/>
      <c r="F331" s="46"/>
      <c r="G331" s="46"/>
    </row>
    <row r="332" spans="1:7" ht="15" thickBot="1">
      <c r="A332" s="46"/>
      <c r="B332" s="46"/>
      <c r="C332" s="46"/>
      <c r="D332" s="46"/>
      <c r="E332" s="46"/>
      <c r="F332" s="46"/>
      <c r="G332" s="46"/>
    </row>
    <row r="333" spans="1:7" ht="15" thickBot="1">
      <c r="A333" s="46"/>
      <c r="B333" s="46"/>
      <c r="C333" s="46"/>
      <c r="D333" s="46"/>
      <c r="E333" s="46"/>
      <c r="F333" s="46"/>
      <c r="G333" s="46"/>
    </row>
    <row r="334" spans="1:7" ht="15" thickBot="1">
      <c r="A334" s="46"/>
      <c r="B334" s="46"/>
      <c r="C334" s="46"/>
      <c r="D334" s="46"/>
      <c r="E334" s="46"/>
      <c r="F334" s="46"/>
      <c r="G334" s="46"/>
    </row>
    <row r="335" spans="1:7" ht="15" thickBot="1">
      <c r="A335" s="46"/>
      <c r="B335" s="46"/>
      <c r="C335" s="46"/>
      <c r="D335" s="46"/>
      <c r="E335" s="46"/>
      <c r="F335" s="46"/>
      <c r="G335" s="46"/>
    </row>
    <row r="336" spans="1:7" ht="15" thickBot="1">
      <c r="A336" s="46"/>
      <c r="B336" s="46"/>
      <c r="C336" s="46"/>
      <c r="D336" s="46"/>
      <c r="E336" s="46"/>
      <c r="F336" s="46"/>
      <c r="G336" s="46"/>
    </row>
    <row r="337" spans="1:7" ht="15" thickBot="1">
      <c r="A337" s="46"/>
      <c r="B337" s="46"/>
      <c r="C337" s="46"/>
      <c r="D337" s="46"/>
      <c r="E337" s="46"/>
      <c r="F337" s="46"/>
      <c r="G337" s="46"/>
    </row>
    <row r="338" spans="1:7" ht="15" thickBot="1">
      <c r="A338" s="46"/>
      <c r="B338" s="46"/>
      <c r="C338" s="46"/>
      <c r="D338" s="46"/>
      <c r="E338" s="46"/>
      <c r="F338" s="46"/>
      <c r="G338" s="46"/>
    </row>
    <row r="339" spans="1:7" ht="15" thickBot="1">
      <c r="A339" s="46"/>
      <c r="B339" s="46"/>
      <c r="C339" s="46"/>
      <c r="D339" s="46"/>
      <c r="E339" s="46"/>
      <c r="F339" s="46"/>
      <c r="G339" s="46"/>
    </row>
    <row r="340" spans="1:7" ht="15" thickBot="1">
      <c r="A340" s="46"/>
      <c r="B340" s="46"/>
      <c r="C340" s="46"/>
      <c r="D340" s="46"/>
      <c r="E340" s="46"/>
      <c r="F340" s="46"/>
      <c r="G340" s="46"/>
    </row>
    <row r="341" spans="1:7" ht="15" thickBot="1">
      <c r="A341" s="46"/>
      <c r="B341" s="46"/>
      <c r="C341" s="46"/>
      <c r="D341" s="46"/>
      <c r="E341" s="46"/>
      <c r="F341" s="46"/>
      <c r="G341" s="46"/>
    </row>
    <row r="342" spans="1:7" ht="15" thickBot="1">
      <c r="A342" s="46"/>
      <c r="B342" s="46"/>
      <c r="C342" s="46"/>
      <c r="D342" s="46"/>
      <c r="E342" s="46"/>
      <c r="F342" s="46"/>
      <c r="G342" s="46"/>
    </row>
    <row r="343" spans="1:7" ht="15" thickBot="1">
      <c r="A343" s="46"/>
      <c r="B343" s="46"/>
      <c r="C343" s="46"/>
      <c r="D343" s="46"/>
      <c r="E343" s="46"/>
      <c r="F343" s="46"/>
      <c r="G343" s="46"/>
    </row>
    <row r="344" spans="1:7" ht="15" thickBot="1">
      <c r="A344" s="46"/>
      <c r="B344" s="46"/>
      <c r="C344" s="46"/>
      <c r="D344" s="46"/>
      <c r="E344" s="46"/>
      <c r="F344" s="46"/>
      <c r="G344" s="46"/>
    </row>
    <row r="345" spans="1:7" ht="15" thickBot="1">
      <c r="A345" s="46"/>
      <c r="B345" s="46"/>
      <c r="C345" s="46"/>
      <c r="D345" s="46"/>
      <c r="E345" s="46"/>
      <c r="F345" s="46"/>
      <c r="G345" s="46"/>
    </row>
    <row r="346" spans="1:7" ht="15" thickBot="1">
      <c r="A346" s="46"/>
      <c r="B346" s="46"/>
      <c r="C346" s="46"/>
      <c r="D346" s="46"/>
      <c r="E346" s="46"/>
      <c r="F346" s="46"/>
      <c r="G346" s="46"/>
    </row>
    <row r="347" spans="1:7" ht="15" thickBot="1">
      <c r="A347" s="46"/>
      <c r="B347" s="46"/>
      <c r="C347" s="46"/>
      <c r="D347" s="46"/>
      <c r="E347" s="46"/>
      <c r="F347" s="46"/>
      <c r="G347" s="46"/>
    </row>
    <row r="348" spans="1:7" ht="15" thickBot="1">
      <c r="A348" s="46"/>
      <c r="B348" s="46"/>
      <c r="C348" s="46"/>
      <c r="D348" s="46"/>
      <c r="E348" s="46"/>
      <c r="F348" s="46"/>
      <c r="G348" s="46"/>
    </row>
    <row r="349" spans="1:7" ht="15" thickBot="1">
      <c r="A349" s="46"/>
      <c r="B349" s="46"/>
      <c r="C349" s="46"/>
      <c r="D349" s="46"/>
      <c r="E349" s="46"/>
      <c r="F349" s="46"/>
      <c r="G349" s="46"/>
    </row>
    <row r="350" spans="1:7" ht="15" thickBot="1">
      <c r="A350" s="46"/>
      <c r="B350" s="46"/>
      <c r="C350" s="46"/>
      <c r="D350" s="46"/>
      <c r="E350" s="46"/>
      <c r="F350" s="46"/>
      <c r="G350" s="46"/>
    </row>
    <row r="351" spans="1:7" ht="15" thickBot="1">
      <c r="A351" s="46"/>
      <c r="B351" s="46"/>
      <c r="C351" s="46"/>
      <c r="D351" s="46"/>
      <c r="E351" s="46"/>
      <c r="F351" s="46"/>
      <c r="G351" s="46"/>
    </row>
    <row r="352" spans="1:7" ht="15" thickBot="1">
      <c r="A352" s="46"/>
      <c r="B352" s="46"/>
      <c r="C352" s="46"/>
      <c r="D352" s="46"/>
      <c r="E352" s="46"/>
      <c r="F352" s="46"/>
      <c r="G352" s="46"/>
    </row>
    <row r="353" spans="1:7" ht="15" thickBot="1">
      <c r="A353" s="46"/>
      <c r="B353" s="46"/>
      <c r="C353" s="46"/>
      <c r="D353" s="46"/>
      <c r="E353" s="46"/>
      <c r="F353" s="46"/>
      <c r="G353" s="46"/>
    </row>
    <row r="354" spans="1:7" ht="15" thickBot="1">
      <c r="A354" s="46"/>
      <c r="B354" s="46"/>
      <c r="C354" s="46"/>
      <c r="D354" s="46"/>
      <c r="E354" s="46"/>
      <c r="F354" s="46"/>
      <c r="G354" s="46"/>
    </row>
    <row r="355" spans="1:7" ht="15" thickBot="1">
      <c r="A355" s="46"/>
      <c r="B355" s="46"/>
      <c r="C355" s="46"/>
      <c r="D355" s="46"/>
      <c r="E355" s="46"/>
      <c r="F355" s="46"/>
      <c r="G355" s="46"/>
    </row>
    <row r="356" spans="1:7" ht="15" thickBot="1">
      <c r="A356" s="46"/>
      <c r="B356" s="46"/>
      <c r="C356" s="46"/>
      <c r="D356" s="46"/>
      <c r="E356" s="46"/>
      <c r="F356" s="46"/>
      <c r="G356" s="46"/>
    </row>
    <row r="357" spans="1:7" ht="15" thickBot="1">
      <c r="A357" s="46"/>
      <c r="B357" s="46"/>
      <c r="C357" s="46"/>
      <c r="D357" s="46"/>
      <c r="E357" s="46"/>
      <c r="F357" s="46"/>
      <c r="G357" s="46"/>
    </row>
    <row r="358" spans="1:7" ht="15" thickBot="1">
      <c r="A358" s="46"/>
      <c r="B358" s="46"/>
      <c r="C358" s="46"/>
      <c r="D358" s="46"/>
      <c r="E358" s="46"/>
      <c r="F358" s="46"/>
      <c r="G358" s="46"/>
    </row>
    <row r="359" spans="1:7" ht="15" thickBot="1">
      <c r="A359" s="46"/>
      <c r="B359" s="46"/>
      <c r="C359" s="46"/>
      <c r="D359" s="46"/>
      <c r="E359" s="46"/>
      <c r="F359" s="46"/>
      <c r="G359" s="46"/>
    </row>
    <row r="360" spans="1:7" ht="15" thickBot="1">
      <c r="A360" s="46"/>
      <c r="B360" s="46"/>
      <c r="C360" s="46"/>
      <c r="D360" s="46"/>
      <c r="E360" s="46"/>
      <c r="F360" s="46"/>
      <c r="G360" s="46"/>
    </row>
    <row r="361" spans="1:7" ht="15" thickBot="1">
      <c r="A361" s="46"/>
      <c r="B361" s="46"/>
      <c r="C361" s="46"/>
      <c r="D361" s="46"/>
      <c r="E361" s="46"/>
      <c r="F361" s="46"/>
      <c r="G361" s="46"/>
    </row>
    <row r="362" spans="1:7" ht="15" thickBot="1">
      <c r="A362" s="46"/>
      <c r="B362" s="46"/>
      <c r="C362" s="46"/>
      <c r="D362" s="46"/>
      <c r="E362" s="46"/>
      <c r="F362" s="46"/>
      <c r="G362" s="46"/>
    </row>
    <row r="363" spans="1:7" ht="15" thickBot="1">
      <c r="A363" s="46"/>
      <c r="B363" s="46"/>
      <c r="C363" s="46"/>
      <c r="D363" s="46"/>
      <c r="E363" s="46"/>
      <c r="F363" s="46"/>
      <c r="G363" s="46"/>
    </row>
    <row r="364" spans="1:7" ht="15" thickBot="1">
      <c r="A364" s="46"/>
      <c r="B364" s="46"/>
      <c r="C364" s="46"/>
      <c r="D364" s="46"/>
      <c r="E364" s="46"/>
      <c r="F364" s="46"/>
      <c r="G364" s="46"/>
    </row>
    <row r="365" spans="1:7" ht="15" thickBot="1">
      <c r="A365" s="46"/>
      <c r="B365" s="46"/>
      <c r="C365" s="46"/>
      <c r="D365" s="46"/>
      <c r="E365" s="46"/>
      <c r="F365" s="46"/>
      <c r="G365" s="46"/>
    </row>
    <row r="366" spans="1:7" ht="15" thickBot="1">
      <c r="A366" s="46"/>
      <c r="B366" s="46"/>
      <c r="C366" s="46"/>
      <c r="D366" s="46"/>
      <c r="E366" s="46"/>
      <c r="F366" s="46"/>
      <c r="G366" s="46"/>
    </row>
    <row r="367" spans="1:7" ht="15" thickBot="1">
      <c r="A367" s="46"/>
      <c r="B367" s="46"/>
      <c r="C367" s="46"/>
      <c r="D367" s="46"/>
      <c r="E367" s="46"/>
      <c r="F367" s="46"/>
      <c r="G367" s="46"/>
    </row>
    <row r="368" spans="1:7" ht="15" thickBot="1">
      <c r="A368" s="46"/>
      <c r="B368" s="46"/>
      <c r="C368" s="46"/>
      <c r="D368" s="46"/>
      <c r="E368" s="46"/>
      <c r="F368" s="46"/>
      <c r="G368" s="46"/>
    </row>
    <row r="369" spans="1:7" ht="15" thickBot="1">
      <c r="A369" s="46"/>
      <c r="B369" s="46"/>
      <c r="C369" s="46"/>
      <c r="D369" s="46"/>
      <c r="E369" s="46"/>
      <c r="F369" s="46"/>
      <c r="G369" s="46"/>
    </row>
    <row r="370" spans="1:7" ht="15" thickBot="1">
      <c r="A370" s="46"/>
      <c r="B370" s="46"/>
      <c r="C370" s="46"/>
      <c r="D370" s="46"/>
      <c r="E370" s="46"/>
      <c r="F370" s="46"/>
      <c r="G370" s="46"/>
    </row>
    <row r="371" spans="1:7" ht="15" thickBot="1">
      <c r="A371" s="46"/>
      <c r="B371" s="46"/>
      <c r="C371" s="46"/>
      <c r="D371" s="46"/>
      <c r="E371" s="46"/>
      <c r="F371" s="46"/>
      <c r="G371" s="46"/>
    </row>
    <row r="372" spans="1:7" ht="15" thickBot="1">
      <c r="A372" s="46"/>
      <c r="B372" s="46"/>
      <c r="C372" s="46"/>
      <c r="D372" s="46"/>
      <c r="E372" s="46"/>
      <c r="F372" s="46"/>
      <c r="G372" s="46"/>
    </row>
    <row r="373" spans="1:7" ht="15" thickBot="1">
      <c r="A373" s="46"/>
      <c r="B373" s="46"/>
      <c r="C373" s="46"/>
      <c r="D373" s="46"/>
      <c r="E373" s="46"/>
      <c r="F373" s="46"/>
      <c r="G373" s="46"/>
    </row>
    <row r="374" spans="1:7" ht="15" thickBot="1">
      <c r="A374" s="46"/>
      <c r="B374" s="46"/>
      <c r="C374" s="46"/>
      <c r="D374" s="46"/>
      <c r="E374" s="46"/>
      <c r="F374" s="46"/>
      <c r="G374" s="46"/>
    </row>
    <row r="375" spans="1:7" ht="15" thickBot="1">
      <c r="A375" s="46"/>
      <c r="B375" s="46"/>
      <c r="C375" s="46"/>
      <c r="D375" s="46"/>
      <c r="E375" s="46"/>
      <c r="F375" s="46"/>
      <c r="G375" s="46"/>
    </row>
    <row r="376" spans="1:7" ht="15" thickBot="1">
      <c r="A376" s="46"/>
      <c r="B376" s="46"/>
      <c r="C376" s="46"/>
      <c r="D376" s="46"/>
      <c r="E376" s="46"/>
      <c r="F376" s="46"/>
      <c r="G376" s="46"/>
    </row>
    <row r="377" spans="1:7" ht="15" thickBot="1">
      <c r="A377" s="46"/>
      <c r="B377" s="46"/>
      <c r="C377" s="46"/>
      <c r="D377" s="46"/>
      <c r="E377" s="46"/>
      <c r="F377" s="46"/>
      <c r="G377" s="46"/>
    </row>
    <row r="378" spans="1:7" ht="15" thickBot="1">
      <c r="A378" s="46"/>
      <c r="B378" s="46"/>
      <c r="C378" s="46"/>
      <c r="D378" s="46"/>
      <c r="E378" s="46"/>
      <c r="F378" s="46"/>
      <c r="G378" s="46"/>
    </row>
    <row r="379" spans="1:7" ht="15" thickBot="1">
      <c r="A379" s="46"/>
      <c r="B379" s="46"/>
      <c r="C379" s="46"/>
      <c r="D379" s="46"/>
      <c r="E379" s="46"/>
      <c r="F379" s="46"/>
      <c r="G379" s="46"/>
    </row>
    <row r="380" spans="1:7" ht="15" thickBot="1">
      <c r="A380" s="46"/>
      <c r="B380" s="46"/>
      <c r="C380" s="46"/>
      <c r="D380" s="46"/>
      <c r="E380" s="46"/>
      <c r="F380" s="46"/>
      <c r="G380" s="46"/>
    </row>
    <row r="381" spans="1:7" ht="15" thickBot="1">
      <c r="A381" s="46"/>
      <c r="B381" s="46"/>
      <c r="C381" s="46"/>
      <c r="D381" s="46"/>
      <c r="E381" s="46"/>
      <c r="F381" s="46"/>
      <c r="G381" s="46"/>
    </row>
    <row r="382" spans="1:7" ht="15" thickBot="1">
      <c r="A382" s="46"/>
      <c r="B382" s="46"/>
      <c r="C382" s="46"/>
      <c r="D382" s="46"/>
      <c r="E382" s="46"/>
      <c r="F382" s="46"/>
      <c r="G382" s="46"/>
    </row>
    <row r="383" spans="1:7" ht="15" thickBot="1">
      <c r="A383" s="46"/>
      <c r="B383" s="46"/>
      <c r="C383" s="46"/>
      <c r="D383" s="46"/>
      <c r="E383" s="46"/>
      <c r="F383" s="46"/>
      <c r="G383" s="46"/>
    </row>
    <row r="384" spans="1:7" ht="15" thickBot="1">
      <c r="A384" s="46"/>
      <c r="B384" s="46"/>
      <c r="C384" s="46"/>
      <c r="D384" s="46"/>
      <c r="E384" s="46"/>
      <c r="F384" s="46"/>
      <c r="G384" s="46"/>
    </row>
    <row r="385" spans="1:7" ht="15" thickBot="1">
      <c r="A385" s="46"/>
      <c r="B385" s="46"/>
      <c r="C385" s="46"/>
      <c r="D385" s="46"/>
      <c r="E385" s="46"/>
      <c r="F385" s="46"/>
      <c r="G385" s="46"/>
    </row>
    <row r="386" spans="1:7" ht="15" thickBot="1">
      <c r="A386" s="46"/>
      <c r="B386" s="46"/>
      <c r="C386" s="46"/>
      <c r="D386" s="46"/>
      <c r="E386" s="46"/>
      <c r="F386" s="46"/>
      <c r="G386" s="46"/>
    </row>
    <row r="387" spans="1:7" ht="15" thickBot="1">
      <c r="A387" s="46"/>
      <c r="B387" s="46"/>
      <c r="C387" s="46"/>
      <c r="D387" s="46"/>
      <c r="E387" s="46"/>
      <c r="F387" s="46"/>
      <c r="G387" s="46"/>
    </row>
    <row r="388" spans="1:7" ht="15" thickBot="1">
      <c r="A388" s="46"/>
      <c r="B388" s="46"/>
      <c r="C388" s="46"/>
      <c r="D388" s="46"/>
      <c r="E388" s="46"/>
      <c r="F388" s="46"/>
      <c r="G388" s="46"/>
    </row>
    <row r="389" spans="1:7" ht="15" thickBot="1">
      <c r="A389" s="46"/>
      <c r="B389" s="46"/>
      <c r="C389" s="46"/>
      <c r="D389" s="46"/>
      <c r="E389" s="46"/>
      <c r="F389" s="46"/>
      <c r="G389" s="46"/>
    </row>
    <row r="390" spans="1:7" ht="15" thickBot="1">
      <c r="A390" s="46"/>
      <c r="B390" s="46"/>
      <c r="C390" s="46"/>
      <c r="D390" s="46"/>
      <c r="E390" s="46"/>
      <c r="F390" s="46"/>
      <c r="G390" s="46"/>
    </row>
    <row r="391" spans="1:7" ht="15" thickBot="1">
      <c r="A391" s="46"/>
      <c r="B391" s="46"/>
      <c r="C391" s="46"/>
      <c r="D391" s="46"/>
      <c r="E391" s="46"/>
      <c r="F391" s="46"/>
      <c r="G391" s="46"/>
    </row>
    <row r="392" spans="1:7" ht="15" thickBot="1">
      <c r="A392" s="46"/>
      <c r="B392" s="46"/>
      <c r="C392" s="46"/>
      <c r="D392" s="46"/>
      <c r="E392" s="46"/>
      <c r="F392" s="46"/>
      <c r="G392" s="46"/>
    </row>
    <row r="393" spans="1:7" ht="15" thickBot="1">
      <c r="A393" s="46"/>
      <c r="B393" s="46"/>
      <c r="C393" s="46"/>
      <c r="D393" s="46"/>
      <c r="E393" s="46"/>
      <c r="F393" s="46"/>
      <c r="G393" s="46"/>
    </row>
    <row r="394" spans="1:7" ht="15" thickBot="1">
      <c r="A394" s="46"/>
      <c r="B394" s="46"/>
      <c r="C394" s="46"/>
      <c r="D394" s="46"/>
      <c r="E394" s="46"/>
      <c r="F394" s="46"/>
      <c r="G394" s="46"/>
    </row>
    <row r="395" spans="1:7" ht="15" thickBot="1">
      <c r="A395" s="46"/>
      <c r="B395" s="46"/>
      <c r="C395" s="46"/>
      <c r="D395" s="46"/>
      <c r="E395" s="46"/>
      <c r="F395" s="46"/>
      <c r="G395" s="46"/>
    </row>
    <row r="396" spans="1:7" ht="15" thickBot="1">
      <c r="A396" s="46"/>
      <c r="B396" s="46"/>
      <c r="C396" s="46"/>
      <c r="D396" s="46"/>
      <c r="E396" s="46"/>
      <c r="F396" s="46"/>
      <c r="G396" s="46"/>
    </row>
    <row r="397" spans="1:7" ht="15" thickBot="1">
      <c r="A397" s="46"/>
      <c r="B397" s="46"/>
      <c r="C397" s="46"/>
      <c r="D397" s="46"/>
      <c r="E397" s="46"/>
      <c r="F397" s="46"/>
      <c r="G397" s="46"/>
    </row>
    <row r="398" spans="1:7" ht="15" thickBot="1">
      <c r="A398" s="46"/>
      <c r="B398" s="46"/>
      <c r="C398" s="46"/>
      <c r="D398" s="46"/>
      <c r="E398" s="46"/>
      <c r="F398" s="46"/>
      <c r="G398" s="46"/>
    </row>
    <row r="399" spans="1:7" ht="15" thickBot="1">
      <c r="A399" s="46"/>
      <c r="B399" s="46"/>
      <c r="C399" s="46"/>
      <c r="D399" s="46"/>
      <c r="E399" s="46"/>
      <c r="F399" s="46"/>
      <c r="G399" s="46"/>
    </row>
    <row r="400" spans="1:7" ht="15" thickBot="1">
      <c r="A400" s="46"/>
      <c r="B400" s="46"/>
      <c r="C400" s="46"/>
      <c r="D400" s="46"/>
      <c r="E400" s="46"/>
      <c r="F400" s="46"/>
      <c r="G400" s="46"/>
    </row>
    <row r="401" spans="1:7" ht="15" thickBot="1">
      <c r="A401" s="46"/>
      <c r="B401" s="46"/>
      <c r="C401" s="46"/>
      <c r="D401" s="46"/>
      <c r="E401" s="46"/>
      <c r="F401" s="46"/>
      <c r="G401" s="46"/>
    </row>
    <row r="402" spans="1:7" ht="15" thickBot="1">
      <c r="A402" s="46"/>
      <c r="B402" s="46"/>
      <c r="C402" s="46"/>
      <c r="D402" s="46"/>
      <c r="E402" s="46"/>
      <c r="F402" s="46"/>
      <c r="G402" s="46"/>
    </row>
    <row r="403" spans="1:7" ht="15" thickBot="1">
      <c r="A403" s="46"/>
      <c r="B403" s="46"/>
      <c r="C403" s="46"/>
      <c r="D403" s="46"/>
      <c r="E403" s="46"/>
      <c r="F403" s="46"/>
      <c r="G403" s="46"/>
    </row>
    <row r="404" spans="1:7" ht="15" thickBot="1">
      <c r="A404" s="46"/>
      <c r="B404" s="46"/>
      <c r="C404" s="46"/>
      <c r="D404" s="46"/>
      <c r="E404" s="46"/>
      <c r="F404" s="46"/>
      <c r="G404" s="46"/>
    </row>
    <row r="405" spans="1:7" ht="15" thickBot="1">
      <c r="A405" s="46"/>
      <c r="B405" s="46"/>
      <c r="C405" s="46"/>
      <c r="D405" s="46"/>
      <c r="E405" s="46"/>
      <c r="F405" s="46"/>
      <c r="G405" s="46"/>
    </row>
    <row r="406" spans="1:7" ht="15" thickBot="1">
      <c r="A406" s="46"/>
      <c r="B406" s="46"/>
      <c r="C406" s="46"/>
      <c r="D406" s="46"/>
      <c r="E406" s="46"/>
      <c r="F406" s="46"/>
      <c r="G406" s="46"/>
    </row>
    <row r="407" spans="1:7" ht="15" thickBot="1">
      <c r="A407" s="46"/>
      <c r="B407" s="46"/>
      <c r="C407" s="46"/>
      <c r="D407" s="46"/>
      <c r="E407" s="46"/>
      <c r="F407" s="46"/>
      <c r="G407" s="46"/>
    </row>
    <row r="408" spans="1:7" ht="15" thickBot="1">
      <c r="A408" s="46"/>
      <c r="B408" s="46"/>
      <c r="C408" s="46"/>
      <c r="D408" s="46"/>
      <c r="E408" s="46"/>
      <c r="F408" s="46"/>
      <c r="G408" s="46"/>
    </row>
    <row r="409" spans="1:7" ht="15" thickBot="1">
      <c r="A409" s="46"/>
      <c r="B409" s="46"/>
      <c r="C409" s="46"/>
      <c r="D409" s="46"/>
      <c r="E409" s="46"/>
      <c r="F409" s="46"/>
      <c r="G409" s="46"/>
    </row>
    <row r="410" spans="1:7" ht="15" thickBot="1">
      <c r="A410" s="46"/>
      <c r="B410" s="46"/>
      <c r="C410" s="46"/>
      <c r="D410" s="46"/>
      <c r="E410" s="46"/>
      <c r="F410" s="46"/>
      <c r="G410" s="46"/>
    </row>
    <row r="411" spans="1:7" ht="15" thickBot="1">
      <c r="A411" s="46"/>
      <c r="B411" s="46"/>
      <c r="C411" s="46"/>
      <c r="D411" s="46"/>
      <c r="E411" s="46"/>
      <c r="F411" s="46"/>
      <c r="G411" s="46"/>
    </row>
    <row r="412" spans="1:7" ht="15" thickBot="1">
      <c r="A412" s="46"/>
      <c r="B412" s="46"/>
      <c r="C412" s="46"/>
      <c r="D412" s="46"/>
      <c r="E412" s="46"/>
      <c r="F412" s="46"/>
      <c r="G412" s="46"/>
    </row>
    <row r="413" spans="1:7" ht="15" thickBot="1">
      <c r="A413" s="46"/>
      <c r="B413" s="46"/>
      <c r="C413" s="46"/>
      <c r="D413" s="46"/>
      <c r="E413" s="46"/>
      <c r="F413" s="46"/>
      <c r="G413" s="46"/>
    </row>
    <row r="414" spans="1:7" ht="15" thickBot="1">
      <c r="A414" s="46"/>
      <c r="B414" s="46"/>
      <c r="C414" s="46"/>
      <c r="D414" s="46"/>
      <c r="E414" s="46"/>
      <c r="F414" s="46"/>
      <c r="G414" s="46"/>
    </row>
    <row r="415" spans="1:7" ht="15" thickBot="1">
      <c r="A415" s="46"/>
      <c r="B415" s="46"/>
      <c r="C415" s="46"/>
      <c r="D415" s="46"/>
      <c r="E415" s="46"/>
      <c r="F415" s="46"/>
      <c r="G415" s="46"/>
    </row>
    <row r="416" spans="1:7" ht="15" thickBot="1">
      <c r="A416" s="46"/>
      <c r="B416" s="46"/>
      <c r="C416" s="46"/>
      <c r="D416" s="46"/>
      <c r="E416" s="46"/>
      <c r="F416" s="46"/>
      <c r="G416" s="46"/>
    </row>
    <row r="417" spans="1:7" ht="15" thickBot="1">
      <c r="A417" s="46"/>
      <c r="B417" s="46"/>
      <c r="C417" s="46"/>
      <c r="D417" s="46"/>
      <c r="E417" s="46"/>
      <c r="F417" s="46"/>
      <c r="G417" s="46"/>
    </row>
    <row r="418" spans="1:7" ht="15" thickBot="1">
      <c r="A418" s="46"/>
      <c r="B418" s="46"/>
      <c r="C418" s="46"/>
      <c r="D418" s="46"/>
      <c r="E418" s="46"/>
      <c r="F418" s="46"/>
      <c r="G418" s="46"/>
    </row>
    <row r="419" spans="1:7" ht="15" thickBot="1">
      <c r="A419" s="46"/>
      <c r="B419" s="46"/>
      <c r="C419" s="46"/>
      <c r="D419" s="46"/>
      <c r="E419" s="46"/>
      <c r="F419" s="46"/>
      <c r="G419" s="46"/>
    </row>
    <row r="420" spans="1:7" ht="15" thickBot="1">
      <c r="A420" s="46"/>
      <c r="B420" s="46"/>
      <c r="C420" s="46"/>
      <c r="D420" s="46"/>
      <c r="E420" s="46"/>
      <c r="F420" s="46"/>
      <c r="G420" s="46"/>
    </row>
    <row r="421" spans="1:7" ht="15" thickBot="1">
      <c r="A421" s="46"/>
      <c r="B421" s="46"/>
      <c r="C421" s="46"/>
      <c r="D421" s="46"/>
      <c r="E421" s="46"/>
      <c r="F421" s="46"/>
      <c r="G421" s="46"/>
    </row>
    <row r="422" spans="1:7" ht="15" thickBot="1">
      <c r="A422" s="46"/>
      <c r="B422" s="46"/>
      <c r="C422" s="46"/>
      <c r="D422" s="46"/>
      <c r="E422" s="46"/>
      <c r="F422" s="46"/>
      <c r="G422" s="46"/>
    </row>
    <row r="423" spans="1:7" ht="15" thickBot="1">
      <c r="A423" s="46"/>
      <c r="B423" s="46"/>
      <c r="C423" s="46"/>
      <c r="D423" s="46"/>
      <c r="E423" s="46"/>
      <c r="F423" s="46"/>
      <c r="G423" s="46"/>
    </row>
    <row r="424" spans="1:7" ht="15" thickBot="1">
      <c r="A424" s="46"/>
      <c r="B424" s="46"/>
      <c r="C424" s="46"/>
      <c r="D424" s="46"/>
      <c r="E424" s="46"/>
      <c r="F424" s="46"/>
      <c r="G424" s="46"/>
    </row>
    <row r="425" spans="1:7" ht="15" thickBot="1">
      <c r="A425" s="46"/>
      <c r="B425" s="46"/>
      <c r="C425" s="46"/>
      <c r="D425" s="46"/>
      <c r="E425" s="46"/>
      <c r="F425" s="46"/>
      <c r="G425" s="46"/>
    </row>
    <row r="426" spans="1:7" ht="15" thickBot="1">
      <c r="A426" s="46"/>
      <c r="B426" s="46"/>
      <c r="C426" s="46"/>
      <c r="D426" s="46"/>
      <c r="E426" s="46"/>
      <c r="F426" s="46"/>
      <c r="G426" s="46"/>
    </row>
    <row r="427" spans="1:7" ht="15" thickBot="1">
      <c r="A427" s="46"/>
      <c r="B427" s="46"/>
      <c r="C427" s="46"/>
      <c r="D427" s="46"/>
      <c r="E427" s="46"/>
      <c r="F427" s="46"/>
      <c r="G427" s="46"/>
    </row>
    <row r="428" spans="1:7" ht="15" thickBot="1">
      <c r="A428" s="46"/>
      <c r="B428" s="46"/>
      <c r="C428" s="46"/>
      <c r="D428" s="46"/>
      <c r="E428" s="46"/>
      <c r="F428" s="46"/>
      <c r="G428" s="46"/>
    </row>
    <row r="429" spans="1:7" ht="15" thickBot="1">
      <c r="A429" s="46"/>
      <c r="B429" s="46"/>
      <c r="C429" s="46"/>
      <c r="D429" s="46"/>
      <c r="E429" s="46"/>
      <c r="F429" s="46"/>
      <c r="G429" s="46"/>
    </row>
    <row r="430" spans="1:7" ht="15" thickBot="1">
      <c r="A430" s="46"/>
      <c r="B430" s="46"/>
      <c r="C430" s="46"/>
      <c r="D430" s="46"/>
      <c r="E430" s="46"/>
      <c r="F430" s="46"/>
      <c r="G430" s="46"/>
    </row>
    <row r="431" spans="1:7" ht="15" thickBot="1">
      <c r="A431" s="46"/>
      <c r="B431" s="46"/>
      <c r="C431" s="46"/>
      <c r="D431" s="46"/>
      <c r="E431" s="46"/>
      <c r="F431" s="46"/>
      <c r="G431" s="46"/>
    </row>
    <row r="432" spans="1:7" ht="15" thickBot="1">
      <c r="A432" s="46"/>
      <c r="B432" s="46"/>
      <c r="C432" s="46"/>
      <c r="D432" s="46"/>
      <c r="E432" s="46"/>
      <c r="F432" s="46"/>
      <c r="G432" s="46"/>
    </row>
    <row r="433" spans="1:7" ht="15" thickBot="1">
      <c r="A433" s="46"/>
      <c r="B433" s="46"/>
      <c r="C433" s="46"/>
      <c r="D433" s="46"/>
      <c r="E433" s="46"/>
      <c r="F433" s="46"/>
      <c r="G433" s="46"/>
    </row>
    <row r="434" spans="1:7" ht="15" thickBot="1">
      <c r="A434" s="46"/>
      <c r="B434" s="46"/>
      <c r="C434" s="46"/>
      <c r="D434" s="46"/>
      <c r="E434" s="46"/>
      <c r="F434" s="46"/>
      <c r="G434" s="46"/>
    </row>
    <row r="435" spans="1:7" ht="15" thickBot="1">
      <c r="A435" s="46"/>
      <c r="B435" s="46"/>
      <c r="C435" s="46"/>
      <c r="D435" s="46"/>
      <c r="E435" s="46"/>
      <c r="F435" s="46"/>
      <c r="G435" s="46"/>
    </row>
    <row r="436" spans="1:7" ht="15" thickBot="1">
      <c r="A436" s="46"/>
      <c r="B436" s="46"/>
      <c r="C436" s="46"/>
      <c r="D436" s="46"/>
      <c r="E436" s="46"/>
      <c r="F436" s="46"/>
      <c r="G436" s="46"/>
    </row>
    <row r="437" spans="1:7" ht="15" thickBot="1">
      <c r="A437" s="46"/>
      <c r="B437" s="46"/>
      <c r="C437" s="46"/>
      <c r="D437" s="46"/>
      <c r="E437" s="46"/>
      <c r="F437" s="46"/>
      <c r="G437" s="46"/>
    </row>
    <row r="438" spans="1:7" ht="15" thickBot="1">
      <c r="A438" s="46"/>
      <c r="B438" s="46"/>
      <c r="C438" s="46"/>
      <c r="D438" s="46"/>
      <c r="E438" s="46"/>
      <c r="F438" s="46"/>
      <c r="G438" s="46"/>
    </row>
    <row r="439" spans="1:7" ht="15" thickBot="1">
      <c r="A439" s="46"/>
      <c r="B439" s="46"/>
      <c r="C439" s="46"/>
      <c r="D439" s="46"/>
      <c r="E439" s="46"/>
      <c r="F439" s="46"/>
      <c r="G439" s="46"/>
    </row>
    <row r="440" spans="1:7" ht="15" thickBot="1">
      <c r="A440" s="46"/>
      <c r="B440" s="46"/>
      <c r="C440" s="46"/>
      <c r="D440" s="46"/>
      <c r="E440" s="46"/>
      <c r="F440" s="46"/>
      <c r="G440" s="46"/>
    </row>
    <row r="441" spans="1:7" ht="15" thickBot="1">
      <c r="A441" s="46"/>
      <c r="B441" s="46"/>
      <c r="C441" s="46"/>
      <c r="D441" s="46"/>
      <c r="E441" s="46"/>
      <c r="F441" s="46"/>
      <c r="G441" s="46"/>
    </row>
    <row r="442" spans="1:7" ht="15" thickBot="1">
      <c r="A442" s="46"/>
      <c r="B442" s="46"/>
      <c r="C442" s="46"/>
      <c r="D442" s="46"/>
      <c r="E442" s="46"/>
      <c r="F442" s="46"/>
      <c r="G442" s="46"/>
    </row>
    <row r="443" spans="1:7" ht="15" thickBot="1">
      <c r="A443" s="46"/>
      <c r="B443" s="46"/>
      <c r="C443" s="46"/>
      <c r="D443" s="46"/>
      <c r="E443" s="46"/>
      <c r="F443" s="46"/>
      <c r="G443" s="46"/>
    </row>
    <row r="444" spans="1:7" ht="15" thickBot="1">
      <c r="A444" s="46"/>
      <c r="B444" s="46"/>
      <c r="C444" s="46"/>
      <c r="D444" s="46"/>
      <c r="E444" s="46"/>
      <c r="F444" s="46"/>
      <c r="G444" s="46"/>
    </row>
    <row r="445" spans="1:7" ht="15" thickBot="1">
      <c r="A445" s="46"/>
      <c r="B445" s="46"/>
      <c r="C445" s="46"/>
      <c r="D445" s="46"/>
      <c r="E445" s="46"/>
      <c r="F445" s="46"/>
      <c r="G445" s="46"/>
    </row>
    <row r="446" spans="1:7" ht="15" thickBot="1">
      <c r="A446" s="46"/>
      <c r="B446" s="46"/>
      <c r="C446" s="46"/>
      <c r="D446" s="46"/>
      <c r="E446" s="46"/>
      <c r="F446" s="46"/>
      <c r="G446" s="46"/>
    </row>
    <row r="447" spans="1:7" ht="15" thickBot="1">
      <c r="A447" s="46"/>
      <c r="B447" s="46"/>
      <c r="C447" s="46"/>
      <c r="D447" s="46"/>
      <c r="E447" s="46"/>
      <c r="F447" s="46"/>
      <c r="G447" s="46"/>
    </row>
    <row r="448" spans="1:7" ht="15" thickBot="1">
      <c r="A448" s="46"/>
      <c r="B448" s="46"/>
      <c r="C448" s="46"/>
      <c r="D448" s="46"/>
      <c r="E448" s="46"/>
      <c r="F448" s="46"/>
      <c r="G448" s="46"/>
    </row>
    <row r="449" spans="1:7" ht="15" thickBot="1">
      <c r="A449" s="46"/>
      <c r="B449" s="46"/>
      <c r="C449" s="46"/>
      <c r="D449" s="46"/>
      <c r="E449" s="46"/>
      <c r="F449" s="46"/>
      <c r="G449" s="46"/>
    </row>
    <row r="450" spans="1:7" ht="15" thickBot="1">
      <c r="A450" s="46"/>
      <c r="B450" s="46"/>
      <c r="C450" s="46"/>
      <c r="D450" s="46"/>
      <c r="E450" s="46"/>
      <c r="F450" s="46"/>
      <c r="G450" s="46"/>
    </row>
    <row r="451" spans="1:7" ht="15" thickBot="1">
      <c r="A451" s="46"/>
      <c r="B451" s="46"/>
      <c r="C451" s="46"/>
      <c r="D451" s="46"/>
      <c r="E451" s="46"/>
      <c r="F451" s="46"/>
      <c r="G451" s="46"/>
    </row>
    <row r="452" spans="1:7" ht="15" thickBot="1">
      <c r="A452" s="46"/>
      <c r="B452" s="46"/>
      <c r="C452" s="46"/>
      <c r="D452" s="46"/>
      <c r="E452" s="46"/>
      <c r="F452" s="46"/>
      <c r="G452" s="46"/>
    </row>
    <row r="453" spans="1:7" ht="15" thickBot="1">
      <c r="A453" s="46"/>
      <c r="B453" s="46"/>
      <c r="C453" s="46"/>
      <c r="D453" s="46"/>
      <c r="E453" s="46"/>
      <c r="F453" s="46"/>
      <c r="G453" s="46"/>
    </row>
    <row r="454" spans="1:7" ht="15" thickBot="1">
      <c r="A454" s="46"/>
      <c r="B454" s="46"/>
      <c r="C454" s="46"/>
      <c r="D454" s="46"/>
      <c r="E454" s="46"/>
      <c r="F454" s="46"/>
      <c r="G454" s="46"/>
    </row>
    <row r="455" spans="1:7" ht="15" thickBot="1">
      <c r="A455" s="46"/>
      <c r="B455" s="46"/>
      <c r="C455" s="46"/>
      <c r="D455" s="46"/>
      <c r="E455" s="46"/>
      <c r="F455" s="46"/>
      <c r="G455" s="46"/>
    </row>
    <row r="456" spans="1:7" ht="15" thickBot="1">
      <c r="A456" s="46"/>
      <c r="B456" s="46"/>
      <c r="C456" s="46"/>
      <c r="D456" s="46"/>
      <c r="E456" s="46"/>
      <c r="F456" s="46"/>
      <c r="G456" s="46"/>
    </row>
    <row r="457" spans="1:7" ht="15" thickBot="1">
      <c r="A457" s="46"/>
      <c r="B457" s="46"/>
      <c r="C457" s="46"/>
      <c r="D457" s="46"/>
      <c r="E457" s="46"/>
      <c r="F457" s="46"/>
      <c r="G457" s="46"/>
    </row>
    <row r="458" spans="1:7" ht="15" thickBot="1">
      <c r="A458" s="46"/>
      <c r="B458" s="46"/>
      <c r="C458" s="46"/>
      <c r="D458" s="46"/>
      <c r="E458" s="46"/>
      <c r="F458" s="46"/>
      <c r="G458" s="46"/>
    </row>
    <row r="459" spans="1:7" ht="15" thickBot="1">
      <c r="A459" s="46"/>
      <c r="B459" s="46"/>
      <c r="C459" s="46"/>
      <c r="D459" s="46"/>
      <c r="E459" s="46"/>
      <c r="F459" s="46"/>
      <c r="G459" s="46"/>
    </row>
    <row r="460" spans="1:7" ht="15" thickBot="1">
      <c r="A460" s="46"/>
      <c r="B460" s="46"/>
      <c r="C460" s="46"/>
      <c r="D460" s="46"/>
      <c r="E460" s="46"/>
      <c r="F460" s="46"/>
      <c r="G460" s="46"/>
    </row>
    <row r="461" spans="1:7" ht="15" thickBot="1">
      <c r="A461" s="46"/>
      <c r="B461" s="46"/>
      <c r="C461" s="46"/>
      <c r="D461" s="46"/>
      <c r="E461" s="46"/>
      <c r="F461" s="46"/>
      <c r="G461" s="46"/>
    </row>
    <row r="462" spans="1:7" ht="15" thickBot="1">
      <c r="A462" s="46"/>
      <c r="B462" s="46"/>
      <c r="C462" s="46"/>
      <c r="D462" s="46"/>
      <c r="E462" s="46"/>
      <c r="F462" s="46"/>
      <c r="G462" s="46"/>
    </row>
    <row r="463" spans="1:7" ht="15" thickBot="1">
      <c r="A463" s="46"/>
      <c r="B463" s="46"/>
      <c r="C463" s="46"/>
      <c r="D463" s="46"/>
      <c r="E463" s="46"/>
      <c r="F463" s="46"/>
      <c r="G463" s="46"/>
    </row>
    <row r="464" spans="1:7" ht="15" thickBot="1">
      <c r="A464" s="46"/>
      <c r="B464" s="46"/>
      <c r="C464" s="46"/>
      <c r="D464" s="46"/>
      <c r="E464" s="46"/>
      <c r="F464" s="46"/>
      <c r="G464" s="46"/>
    </row>
    <row r="465" spans="1:7" ht="15" thickBot="1">
      <c r="A465" s="46"/>
      <c r="B465" s="46"/>
      <c r="C465" s="46"/>
      <c r="D465" s="46"/>
      <c r="E465" s="46"/>
      <c r="F465" s="46"/>
      <c r="G465" s="46"/>
    </row>
    <row r="466" spans="1:7" ht="15" thickBot="1">
      <c r="A466" s="46"/>
      <c r="B466" s="46"/>
      <c r="C466" s="46"/>
      <c r="D466" s="46"/>
      <c r="E466" s="46"/>
      <c r="F466" s="46"/>
      <c r="G466" s="46"/>
    </row>
    <row r="467" spans="1:7" ht="15" thickBot="1">
      <c r="A467" s="46"/>
      <c r="B467" s="46"/>
      <c r="C467" s="46"/>
      <c r="D467" s="46"/>
      <c r="E467" s="46"/>
      <c r="F467" s="46"/>
      <c r="G467" s="46"/>
    </row>
    <row r="468" spans="1:7" ht="15" thickBot="1">
      <c r="A468" s="46"/>
      <c r="B468" s="46"/>
      <c r="C468" s="46"/>
      <c r="D468" s="46"/>
      <c r="E468" s="46"/>
      <c r="F468" s="46"/>
      <c r="G468" s="46"/>
    </row>
    <row r="469" spans="1:7" ht="15" thickBot="1">
      <c r="A469" s="46"/>
      <c r="B469" s="46"/>
      <c r="C469" s="46"/>
      <c r="D469" s="46"/>
      <c r="E469" s="46"/>
      <c r="F469" s="46"/>
      <c r="G469" s="46"/>
    </row>
    <row r="470" spans="1:7" ht="15" thickBot="1">
      <c r="A470" s="46"/>
      <c r="B470" s="46"/>
      <c r="C470" s="46"/>
      <c r="D470" s="46"/>
      <c r="E470" s="46"/>
      <c r="F470" s="46"/>
      <c r="G470" s="46"/>
    </row>
    <row r="471" spans="1:7" ht="15" thickBot="1">
      <c r="A471" s="46"/>
      <c r="B471" s="46"/>
      <c r="C471" s="46"/>
      <c r="D471" s="46"/>
      <c r="E471" s="46"/>
      <c r="F471" s="46"/>
      <c r="G471" s="46"/>
    </row>
    <row r="472" spans="1:7" ht="15" thickBot="1">
      <c r="A472" s="46"/>
      <c r="B472" s="46"/>
      <c r="C472" s="46"/>
      <c r="D472" s="46"/>
      <c r="E472" s="46"/>
      <c r="F472" s="46"/>
      <c r="G472" s="46"/>
    </row>
    <row r="473" spans="1:7" ht="15" thickBot="1">
      <c r="A473" s="46"/>
      <c r="B473" s="46"/>
      <c r="C473" s="46"/>
      <c r="D473" s="46"/>
      <c r="E473" s="46"/>
      <c r="F473" s="46"/>
      <c r="G473" s="46"/>
    </row>
    <row r="474" spans="1:7" ht="15" thickBot="1">
      <c r="A474" s="46"/>
      <c r="B474" s="46"/>
      <c r="C474" s="46"/>
      <c r="D474" s="46"/>
      <c r="E474" s="46"/>
      <c r="F474" s="46"/>
      <c r="G474" s="46"/>
    </row>
    <row r="475" spans="1:7" ht="15" thickBot="1">
      <c r="A475" s="46"/>
      <c r="B475" s="46"/>
      <c r="C475" s="46"/>
      <c r="D475" s="46"/>
      <c r="E475" s="46"/>
      <c r="F475" s="46"/>
      <c r="G475" s="46"/>
    </row>
    <row r="476" spans="1:7" ht="15" thickBot="1">
      <c r="A476" s="46"/>
      <c r="B476" s="46"/>
      <c r="C476" s="46"/>
      <c r="D476" s="46"/>
      <c r="E476" s="46"/>
      <c r="F476" s="46"/>
      <c r="G476" s="46"/>
    </row>
    <row r="477" spans="1:7" ht="15" thickBot="1">
      <c r="A477" s="46"/>
      <c r="B477" s="46"/>
      <c r="C477" s="46"/>
      <c r="D477" s="46"/>
      <c r="E477" s="46"/>
      <c r="F477" s="46"/>
      <c r="G477" s="46"/>
    </row>
    <row r="478" spans="1:7" ht="15" thickBot="1">
      <c r="A478" s="46"/>
      <c r="B478" s="46"/>
      <c r="C478" s="46"/>
      <c r="D478" s="46"/>
      <c r="E478" s="46"/>
      <c r="F478" s="46"/>
      <c r="G478" s="46"/>
    </row>
    <row r="479" spans="1:7" ht="15" thickBot="1">
      <c r="A479" s="46"/>
      <c r="B479" s="46"/>
      <c r="C479" s="46"/>
      <c r="D479" s="46"/>
      <c r="E479" s="46"/>
      <c r="F479" s="46"/>
      <c r="G479" s="46"/>
    </row>
    <row r="480" spans="1:7" ht="15" thickBot="1">
      <c r="A480" s="46"/>
      <c r="B480" s="46"/>
      <c r="C480" s="46"/>
      <c r="D480" s="46"/>
      <c r="E480" s="46"/>
      <c r="F480" s="46"/>
      <c r="G480" s="46"/>
    </row>
    <row r="481" spans="1:7" ht="15" thickBot="1">
      <c r="A481" s="46"/>
      <c r="B481" s="46"/>
      <c r="C481" s="46"/>
      <c r="D481" s="46"/>
      <c r="E481" s="46"/>
      <c r="F481" s="46"/>
      <c r="G481" s="46"/>
    </row>
    <row r="482" spans="1:7" ht="15" thickBot="1">
      <c r="A482" s="46"/>
      <c r="B482" s="46"/>
      <c r="C482" s="46"/>
      <c r="D482" s="46"/>
      <c r="E482" s="46"/>
      <c r="F482" s="46"/>
      <c r="G482" s="46"/>
    </row>
    <row r="483" spans="1:7" ht="15" thickBot="1">
      <c r="A483" s="46"/>
      <c r="B483" s="46"/>
      <c r="C483" s="46"/>
      <c r="D483" s="46"/>
      <c r="E483" s="46"/>
      <c r="F483" s="46"/>
      <c r="G483" s="46"/>
    </row>
    <row r="484" spans="1:7" ht="15" thickBot="1">
      <c r="A484" s="46"/>
      <c r="B484" s="46"/>
      <c r="C484" s="46"/>
      <c r="D484" s="46"/>
      <c r="E484" s="46"/>
      <c r="F484" s="46"/>
      <c r="G484" s="46"/>
    </row>
    <row r="485" spans="1:7" ht="15" thickBot="1">
      <c r="A485" s="46"/>
      <c r="B485" s="46"/>
      <c r="C485" s="46"/>
      <c r="D485" s="46"/>
      <c r="E485" s="46"/>
      <c r="F485" s="46"/>
      <c r="G485" s="46"/>
    </row>
    <row r="486" spans="1:7" ht="15" thickBot="1">
      <c r="A486" s="46"/>
      <c r="B486" s="46"/>
      <c r="C486" s="46"/>
      <c r="D486" s="46"/>
      <c r="E486" s="46"/>
      <c r="F486" s="46"/>
      <c r="G486" s="46"/>
    </row>
    <row r="487" spans="1:7" ht="15" thickBot="1">
      <c r="A487" s="46"/>
      <c r="B487" s="46"/>
      <c r="C487" s="46"/>
      <c r="D487" s="46"/>
      <c r="E487" s="46"/>
      <c r="F487" s="46"/>
      <c r="G487" s="46"/>
    </row>
    <row r="488" spans="1:7" ht="15" thickBot="1">
      <c r="A488" s="46"/>
      <c r="B488" s="46"/>
      <c r="C488" s="46"/>
      <c r="D488" s="46"/>
      <c r="E488" s="46"/>
      <c r="F488" s="46"/>
      <c r="G488" s="46"/>
    </row>
    <row r="489" spans="1:7" ht="15" thickBot="1">
      <c r="A489" s="46"/>
      <c r="B489" s="46"/>
      <c r="C489" s="46"/>
      <c r="D489" s="46"/>
      <c r="E489" s="46"/>
      <c r="F489" s="46"/>
      <c r="G489" s="46"/>
    </row>
    <row r="490" spans="1:7" ht="15" thickBot="1">
      <c r="A490" s="46"/>
      <c r="B490" s="46"/>
      <c r="C490" s="46"/>
      <c r="D490" s="46"/>
      <c r="E490" s="46"/>
      <c r="F490" s="46"/>
      <c r="G490" s="46"/>
    </row>
    <row r="491" spans="1:7" ht="15" thickBot="1">
      <c r="A491" s="46"/>
      <c r="B491" s="46"/>
      <c r="C491" s="46"/>
      <c r="D491" s="46"/>
      <c r="E491" s="46"/>
      <c r="F491" s="46"/>
      <c r="G491" s="46"/>
    </row>
    <row r="492" spans="1:7" ht="15" thickBot="1">
      <c r="A492" s="46"/>
      <c r="B492" s="46"/>
      <c r="C492" s="46"/>
      <c r="D492" s="46"/>
      <c r="E492" s="46"/>
      <c r="F492" s="46"/>
      <c r="G492" s="46"/>
    </row>
    <row r="493" spans="1:7" ht="15" thickBot="1">
      <c r="A493" s="46"/>
      <c r="B493" s="46"/>
      <c r="C493" s="46"/>
      <c r="D493" s="46"/>
      <c r="E493" s="46"/>
      <c r="F493" s="46"/>
      <c r="G493" s="46"/>
    </row>
    <row r="494" spans="1:7" ht="15" thickBot="1">
      <c r="A494" s="46"/>
      <c r="B494" s="46"/>
      <c r="C494" s="46"/>
      <c r="D494" s="46"/>
      <c r="E494" s="46"/>
      <c r="F494" s="46"/>
      <c r="G494" s="46"/>
    </row>
    <row r="495" spans="1:7" ht="15" thickBot="1">
      <c r="A495" s="46"/>
      <c r="B495" s="46"/>
      <c r="C495" s="46"/>
      <c r="D495" s="46"/>
      <c r="E495" s="46"/>
      <c r="F495" s="46"/>
      <c r="G495" s="46"/>
    </row>
    <row r="496" spans="1:7" ht="15" thickBot="1">
      <c r="A496" s="46"/>
      <c r="B496" s="46"/>
      <c r="C496" s="46"/>
      <c r="D496" s="46"/>
      <c r="E496" s="46"/>
      <c r="F496" s="46"/>
      <c r="G496" s="46"/>
    </row>
    <row r="497" spans="1:7" ht="15" thickBot="1">
      <c r="A497" s="46"/>
      <c r="B497" s="46"/>
      <c r="C497" s="46"/>
      <c r="D497" s="46"/>
      <c r="E497" s="46"/>
      <c r="F497" s="46"/>
      <c r="G497" s="46"/>
    </row>
    <row r="498" spans="1:7" ht="15" thickBot="1">
      <c r="A498" s="46"/>
      <c r="B498" s="46"/>
      <c r="C498" s="46"/>
      <c r="D498" s="46"/>
      <c r="E498" s="46"/>
      <c r="F498" s="46"/>
      <c r="G498" s="46"/>
    </row>
    <row r="499" spans="1:7" ht="15" thickBot="1">
      <c r="A499" s="46"/>
      <c r="B499" s="46"/>
      <c r="C499" s="46"/>
      <c r="D499" s="46"/>
      <c r="E499" s="46"/>
      <c r="F499" s="46"/>
      <c r="G499" s="46"/>
    </row>
    <row r="500" spans="1:7" ht="15" thickBot="1">
      <c r="A500" s="46"/>
      <c r="B500" s="46"/>
      <c r="C500" s="46"/>
      <c r="D500" s="46"/>
      <c r="E500" s="46"/>
      <c r="F500" s="46"/>
      <c r="G500" s="46"/>
    </row>
    <row r="501" spans="1:7" ht="15" thickBot="1">
      <c r="A501" s="46"/>
      <c r="B501" s="46"/>
      <c r="C501" s="46"/>
      <c r="D501" s="46"/>
      <c r="E501" s="46"/>
      <c r="F501" s="46"/>
      <c r="G501" s="46"/>
    </row>
    <row r="502" spans="1:7" ht="15" thickBot="1">
      <c r="A502" s="46"/>
      <c r="B502" s="46"/>
      <c r="C502" s="46"/>
      <c r="D502" s="46"/>
      <c r="E502" s="46"/>
      <c r="F502" s="46"/>
      <c r="G502" s="46"/>
    </row>
    <row r="503" spans="1:7" ht="15" thickBot="1">
      <c r="A503" s="46"/>
      <c r="B503" s="46"/>
      <c r="C503" s="46"/>
      <c r="D503" s="46"/>
      <c r="E503" s="46"/>
      <c r="F503" s="46"/>
      <c r="G503" s="46"/>
    </row>
    <row r="504" spans="1:7" ht="15" thickBot="1">
      <c r="A504" s="46"/>
      <c r="B504" s="46"/>
      <c r="C504" s="46"/>
      <c r="D504" s="46"/>
      <c r="E504" s="46"/>
      <c r="F504" s="46"/>
      <c r="G504" s="46"/>
    </row>
    <row r="505" spans="1:7" ht="15" thickBot="1">
      <c r="A505" s="46"/>
      <c r="B505" s="46"/>
      <c r="C505" s="46"/>
      <c r="D505" s="46"/>
      <c r="E505" s="46"/>
      <c r="F505" s="46"/>
      <c r="G505" s="46"/>
    </row>
    <row r="506" spans="1:7" ht="15" thickBot="1">
      <c r="A506" s="46"/>
      <c r="B506" s="46"/>
      <c r="C506" s="46"/>
      <c r="D506" s="46"/>
      <c r="E506" s="46"/>
      <c r="F506" s="46"/>
      <c r="G506" s="46"/>
    </row>
    <row r="507" spans="1:7" ht="15" thickBot="1">
      <c r="A507" s="46"/>
      <c r="B507" s="46"/>
      <c r="C507" s="46"/>
      <c r="D507" s="46"/>
      <c r="E507" s="46"/>
      <c r="F507" s="46"/>
      <c r="G507" s="46"/>
    </row>
    <row r="508" spans="1:7" ht="15" thickBot="1">
      <c r="A508" s="46"/>
      <c r="B508" s="46"/>
      <c r="C508" s="46"/>
      <c r="D508" s="46"/>
      <c r="E508" s="46"/>
      <c r="F508" s="46"/>
      <c r="G508" s="46"/>
    </row>
    <row r="509" spans="1:7" ht="15" thickBot="1">
      <c r="A509" s="46"/>
      <c r="B509" s="46"/>
      <c r="C509" s="46"/>
      <c r="D509" s="46"/>
      <c r="E509" s="46"/>
      <c r="F509" s="46"/>
      <c r="G509" s="46"/>
    </row>
    <row r="510" spans="1:7" ht="15" thickBot="1">
      <c r="A510" s="46"/>
      <c r="B510" s="46"/>
      <c r="C510" s="46"/>
      <c r="D510" s="46"/>
      <c r="E510" s="46"/>
      <c r="F510" s="46"/>
      <c r="G510" s="46"/>
    </row>
    <row r="511" spans="1:7" ht="15" thickBot="1">
      <c r="A511" s="46"/>
      <c r="B511" s="46"/>
      <c r="C511" s="46"/>
      <c r="D511" s="46"/>
      <c r="E511" s="46"/>
      <c r="F511" s="46"/>
      <c r="G511" s="46"/>
    </row>
    <row r="512" spans="1:7" ht="15" thickBot="1">
      <c r="A512" s="46"/>
      <c r="B512" s="46"/>
      <c r="C512" s="46"/>
      <c r="D512" s="46"/>
      <c r="E512" s="46"/>
      <c r="F512" s="46"/>
      <c r="G512" s="46"/>
    </row>
    <row r="513" spans="1:7" ht="15" thickBot="1">
      <c r="A513" s="46"/>
      <c r="B513" s="46"/>
      <c r="C513" s="46"/>
      <c r="D513" s="46"/>
      <c r="E513" s="46"/>
      <c r="F513" s="46"/>
      <c r="G513" s="46"/>
    </row>
    <row r="514" spans="1:7" ht="15" thickBot="1">
      <c r="A514" s="46"/>
      <c r="B514" s="46"/>
      <c r="C514" s="46"/>
      <c r="D514" s="46"/>
      <c r="E514" s="46"/>
      <c r="F514" s="46"/>
      <c r="G514" s="46"/>
    </row>
    <row r="515" spans="1:7" ht="15" thickBot="1">
      <c r="A515" s="46"/>
      <c r="B515" s="46"/>
      <c r="C515" s="46"/>
      <c r="D515" s="46"/>
      <c r="E515" s="46"/>
      <c r="F515" s="46"/>
      <c r="G515" s="46"/>
    </row>
    <row r="516" spans="1:7" ht="15" thickBot="1">
      <c r="A516" s="46"/>
      <c r="B516" s="46"/>
      <c r="C516" s="46"/>
      <c r="D516" s="46"/>
      <c r="E516" s="46"/>
      <c r="F516" s="46"/>
      <c r="G516" s="46"/>
    </row>
    <row r="517" spans="1:7" ht="15" thickBot="1">
      <c r="A517" s="46"/>
      <c r="B517" s="46"/>
      <c r="C517" s="46"/>
      <c r="D517" s="46"/>
      <c r="E517" s="46"/>
      <c r="F517" s="46"/>
      <c r="G517" s="46"/>
    </row>
    <row r="518" spans="1:7" ht="15" thickBot="1">
      <c r="A518" s="46"/>
      <c r="B518" s="46"/>
      <c r="C518" s="46"/>
      <c r="D518" s="46"/>
      <c r="E518" s="46"/>
      <c r="F518" s="46"/>
      <c r="G518" s="46"/>
    </row>
    <row r="519" spans="1:7" ht="15" thickBot="1">
      <c r="A519" s="46"/>
      <c r="B519" s="46"/>
      <c r="C519" s="46"/>
      <c r="D519" s="46"/>
      <c r="E519" s="46"/>
      <c r="F519" s="46"/>
      <c r="G519" s="46"/>
    </row>
    <row r="520" spans="1:7" ht="15" thickBot="1">
      <c r="A520" s="46"/>
      <c r="B520" s="46"/>
      <c r="C520" s="46"/>
      <c r="D520" s="46"/>
      <c r="E520" s="46"/>
      <c r="F520" s="46"/>
      <c r="G520" s="46"/>
    </row>
    <row r="521" spans="1:7" ht="15" thickBot="1">
      <c r="A521" s="46"/>
      <c r="B521" s="46"/>
      <c r="C521" s="46"/>
      <c r="D521" s="46"/>
      <c r="E521" s="46"/>
      <c r="F521" s="46"/>
      <c r="G521" s="46"/>
    </row>
    <row r="522" spans="1:7" ht="15" thickBot="1">
      <c r="A522" s="46"/>
      <c r="B522" s="46"/>
      <c r="C522" s="46"/>
      <c r="D522" s="46"/>
      <c r="E522" s="46"/>
      <c r="F522" s="46"/>
      <c r="G522" s="46"/>
    </row>
    <row r="523" spans="1:7" ht="15" thickBot="1">
      <c r="A523" s="46"/>
      <c r="B523" s="46"/>
      <c r="C523" s="46"/>
      <c r="D523" s="46"/>
      <c r="E523" s="46"/>
      <c r="F523" s="46"/>
      <c r="G523" s="46"/>
    </row>
    <row r="524" spans="1:7" ht="15" thickBot="1">
      <c r="A524" s="46"/>
      <c r="B524" s="46"/>
      <c r="C524" s="46"/>
      <c r="D524" s="46"/>
      <c r="E524" s="46"/>
      <c r="F524" s="46"/>
      <c r="G524" s="46"/>
    </row>
    <row r="525" spans="1:7" ht="15" thickBot="1">
      <c r="A525" s="46"/>
      <c r="B525" s="46"/>
      <c r="C525" s="46"/>
      <c r="D525" s="46"/>
      <c r="E525" s="46"/>
      <c r="F525" s="46"/>
      <c r="G525" s="46"/>
    </row>
    <row r="526" spans="1:7" ht="15" thickBot="1">
      <c r="A526" s="46"/>
      <c r="B526" s="46"/>
      <c r="C526" s="46"/>
      <c r="D526" s="46"/>
      <c r="E526" s="46"/>
      <c r="F526" s="46"/>
      <c r="G526" s="46"/>
    </row>
    <row r="527" spans="1:7" ht="15" thickBot="1">
      <c r="A527" s="46"/>
      <c r="B527" s="46"/>
      <c r="C527" s="46"/>
      <c r="D527" s="46"/>
      <c r="E527" s="46"/>
      <c r="F527" s="46"/>
      <c r="G527" s="46"/>
    </row>
    <row r="528" spans="1:7" ht="15" thickBot="1">
      <c r="A528" s="46"/>
      <c r="B528" s="46"/>
      <c r="C528" s="46"/>
      <c r="D528" s="46"/>
      <c r="E528" s="46"/>
      <c r="F528" s="46"/>
      <c r="G528" s="46"/>
    </row>
    <row r="529" spans="1:7" ht="15" thickBot="1">
      <c r="A529" s="46"/>
      <c r="B529" s="46"/>
      <c r="C529" s="46"/>
      <c r="D529" s="46"/>
      <c r="E529" s="46"/>
      <c r="F529" s="46"/>
      <c r="G529" s="46"/>
    </row>
    <row r="530" spans="1:7" ht="15" thickBot="1">
      <c r="A530" s="46"/>
      <c r="B530" s="46"/>
      <c r="C530" s="46"/>
      <c r="D530" s="46"/>
      <c r="E530" s="46"/>
      <c r="F530" s="46"/>
      <c r="G530" s="46"/>
    </row>
    <row r="531" spans="1:7" ht="15" thickBot="1">
      <c r="A531" s="46"/>
      <c r="B531" s="46"/>
      <c r="C531" s="46"/>
      <c r="D531" s="46"/>
      <c r="E531" s="46"/>
      <c r="F531" s="46"/>
      <c r="G531" s="46"/>
    </row>
    <row r="532" spans="1:7" ht="15" thickBot="1">
      <c r="A532" s="46"/>
      <c r="B532" s="46"/>
      <c r="C532" s="46"/>
      <c r="D532" s="46"/>
      <c r="E532" s="46"/>
      <c r="F532" s="46"/>
      <c r="G532" s="46"/>
    </row>
    <row r="533" spans="1:7" ht="15" thickBot="1">
      <c r="A533" s="46"/>
      <c r="B533" s="46"/>
      <c r="C533" s="46"/>
      <c r="D533" s="46"/>
      <c r="E533" s="46"/>
      <c r="F533" s="46"/>
      <c r="G533" s="46"/>
    </row>
    <row r="534" spans="1:7" ht="15" thickBot="1">
      <c r="A534" s="46"/>
      <c r="B534" s="46"/>
      <c r="C534" s="46"/>
      <c r="D534" s="46"/>
      <c r="E534" s="46"/>
      <c r="F534" s="46"/>
      <c r="G534" s="46"/>
    </row>
    <row r="535" spans="1:7" ht="15" thickBot="1">
      <c r="A535" s="46"/>
      <c r="B535" s="46"/>
      <c r="C535" s="46"/>
      <c r="D535" s="46"/>
      <c r="E535" s="46"/>
      <c r="F535" s="46"/>
      <c r="G535" s="46"/>
    </row>
    <row r="536" spans="1:7" ht="15" thickBot="1">
      <c r="A536" s="46"/>
      <c r="B536" s="46"/>
      <c r="C536" s="46"/>
      <c r="D536" s="46"/>
      <c r="E536" s="46"/>
      <c r="F536" s="46"/>
      <c r="G536" s="46"/>
    </row>
    <row r="537" spans="1:7" ht="15" thickBot="1">
      <c r="A537" s="46"/>
      <c r="B537" s="46"/>
      <c r="C537" s="46"/>
      <c r="D537" s="46"/>
      <c r="E537" s="46"/>
      <c r="F537" s="46"/>
      <c r="G537" s="46"/>
    </row>
    <row r="538" spans="1:7" ht="15" thickBot="1">
      <c r="A538" s="46"/>
      <c r="B538" s="46"/>
      <c r="C538" s="46"/>
      <c r="D538" s="46"/>
      <c r="E538" s="46"/>
      <c r="F538" s="46"/>
      <c r="G538" s="46"/>
    </row>
    <row r="539" spans="1:7" ht="15" thickBot="1">
      <c r="A539" s="46"/>
      <c r="B539" s="46"/>
      <c r="C539" s="46"/>
      <c r="D539" s="46"/>
      <c r="E539" s="46"/>
      <c r="F539" s="46"/>
      <c r="G539" s="46"/>
    </row>
    <row r="540" spans="1:7" ht="15" thickBot="1">
      <c r="A540" s="46"/>
      <c r="B540" s="46"/>
      <c r="C540" s="46"/>
      <c r="D540" s="46"/>
      <c r="E540" s="46"/>
      <c r="F540" s="46"/>
      <c r="G540" s="46"/>
    </row>
    <row r="541" spans="1:7" ht="15" thickBot="1">
      <c r="A541" s="46"/>
      <c r="B541" s="46"/>
      <c r="C541" s="46"/>
      <c r="D541" s="46"/>
      <c r="E541" s="46"/>
      <c r="F541" s="46"/>
      <c r="G541" s="46"/>
    </row>
    <row r="542" spans="1:7" ht="15" thickBot="1">
      <c r="A542" s="46"/>
      <c r="B542" s="46"/>
      <c r="C542" s="46"/>
      <c r="D542" s="46"/>
      <c r="E542" s="46"/>
      <c r="F542" s="46"/>
      <c r="G542" s="46"/>
    </row>
    <row r="543" spans="1:7" ht="15" thickBot="1">
      <c r="A543" s="46"/>
      <c r="B543" s="46"/>
      <c r="C543" s="46"/>
      <c r="D543" s="46"/>
      <c r="E543" s="46"/>
      <c r="F543" s="46"/>
      <c r="G543" s="46"/>
    </row>
    <row r="544" spans="1:7" ht="15" thickBot="1">
      <c r="A544" s="46"/>
      <c r="B544" s="46"/>
      <c r="C544" s="46"/>
      <c r="D544" s="46"/>
      <c r="E544" s="46"/>
      <c r="F544" s="46"/>
      <c r="G544" s="46"/>
    </row>
    <row r="545" spans="1:7" ht="15" thickBot="1">
      <c r="A545" s="46"/>
      <c r="B545" s="46"/>
      <c r="C545" s="46"/>
      <c r="D545" s="46"/>
      <c r="E545" s="46"/>
      <c r="F545" s="46"/>
      <c r="G545" s="46"/>
    </row>
    <row r="546" spans="1:7" ht="15" thickBot="1">
      <c r="A546" s="46"/>
      <c r="B546" s="46"/>
      <c r="C546" s="46"/>
      <c r="D546" s="46"/>
      <c r="E546" s="46"/>
      <c r="F546" s="46"/>
      <c r="G546" s="46"/>
    </row>
    <row r="547" spans="1:7" ht="15" thickBot="1">
      <c r="A547" s="46"/>
      <c r="B547" s="46"/>
      <c r="C547" s="46"/>
      <c r="D547" s="46"/>
      <c r="E547" s="46"/>
      <c r="F547" s="46"/>
      <c r="G547" s="46"/>
    </row>
    <row r="548" spans="1:7" ht="15" thickBot="1">
      <c r="A548" s="46"/>
      <c r="B548" s="46"/>
      <c r="C548" s="46"/>
      <c r="D548" s="46"/>
      <c r="E548" s="46"/>
      <c r="F548" s="46"/>
      <c r="G548" s="46"/>
    </row>
    <row r="549" spans="1:7" ht="15" thickBot="1">
      <c r="A549" s="46"/>
      <c r="B549" s="46"/>
      <c r="C549" s="46"/>
      <c r="D549" s="46"/>
      <c r="E549" s="46"/>
      <c r="F549" s="46"/>
      <c r="G549" s="46"/>
    </row>
    <row r="550" spans="1:7" ht="15" thickBot="1">
      <c r="A550" s="46"/>
      <c r="B550" s="46"/>
      <c r="C550" s="46"/>
      <c r="D550" s="46"/>
      <c r="E550" s="46"/>
      <c r="F550" s="46"/>
      <c r="G550" s="46"/>
    </row>
    <row r="551" spans="1:7" ht="15" thickBot="1">
      <c r="A551" s="46"/>
      <c r="B551" s="46"/>
      <c r="C551" s="46"/>
      <c r="D551" s="46"/>
      <c r="E551" s="46"/>
      <c r="F551" s="46"/>
      <c r="G551" s="46"/>
    </row>
    <row r="552" spans="1:7" ht="15" thickBot="1">
      <c r="A552" s="46"/>
      <c r="B552" s="46"/>
      <c r="C552" s="46"/>
      <c r="D552" s="46"/>
      <c r="E552" s="46"/>
      <c r="F552" s="46"/>
      <c r="G552" s="46"/>
    </row>
    <row r="553" spans="1:7" ht="15" thickBot="1">
      <c r="A553" s="46"/>
      <c r="B553" s="46"/>
      <c r="C553" s="46"/>
      <c r="D553" s="46"/>
      <c r="E553" s="46"/>
      <c r="F553" s="46"/>
      <c r="G553" s="46"/>
    </row>
    <row r="554" spans="1:7" ht="15" thickBot="1">
      <c r="A554" s="46"/>
      <c r="B554" s="46"/>
      <c r="C554" s="46"/>
      <c r="D554" s="46"/>
      <c r="E554" s="46"/>
      <c r="F554" s="46"/>
      <c r="G554" s="46"/>
    </row>
    <row r="555" spans="1:7" ht="15" thickBot="1">
      <c r="A555" s="46"/>
      <c r="B555" s="46"/>
      <c r="C555" s="46"/>
      <c r="D555" s="46"/>
      <c r="E555" s="46"/>
      <c r="F555" s="46"/>
      <c r="G555" s="46"/>
    </row>
    <row r="556" spans="1:7" ht="15" thickBot="1">
      <c r="A556" s="46"/>
      <c r="B556" s="46"/>
      <c r="C556" s="46"/>
      <c r="D556" s="46"/>
      <c r="E556" s="46"/>
      <c r="F556" s="46"/>
      <c r="G556" s="46"/>
    </row>
    <row r="557" spans="1:7" ht="15" thickBot="1">
      <c r="A557" s="46"/>
      <c r="B557" s="46"/>
      <c r="C557" s="46"/>
      <c r="D557" s="46"/>
      <c r="E557" s="46"/>
      <c r="F557" s="46"/>
      <c r="G557" s="46"/>
    </row>
    <row r="558" spans="1:7" ht="15" thickBot="1">
      <c r="A558" s="46"/>
      <c r="B558" s="46"/>
      <c r="C558" s="46"/>
      <c r="D558" s="46"/>
      <c r="E558" s="46"/>
      <c r="F558" s="46"/>
      <c r="G558" s="46"/>
    </row>
    <row r="559" spans="1:7" ht="15" thickBot="1">
      <c r="A559" s="46"/>
      <c r="B559" s="46"/>
      <c r="C559" s="46"/>
      <c r="D559" s="46"/>
      <c r="E559" s="46"/>
      <c r="F559" s="46"/>
      <c r="G559" s="46"/>
    </row>
    <row r="560" spans="1:7" ht="15" thickBot="1">
      <c r="A560" s="46"/>
      <c r="B560" s="46"/>
      <c r="C560" s="46"/>
      <c r="D560" s="46"/>
      <c r="E560" s="46"/>
      <c r="F560" s="46"/>
      <c r="G560" s="46"/>
    </row>
    <row r="561" spans="1:7" ht="15" thickBot="1">
      <c r="A561" s="46"/>
      <c r="B561" s="46"/>
      <c r="C561" s="46"/>
      <c r="D561" s="46"/>
      <c r="E561" s="46"/>
      <c r="F561" s="46"/>
      <c r="G561" s="46"/>
    </row>
    <row r="562" spans="1:7" ht="15" thickBot="1">
      <c r="A562" s="46"/>
      <c r="B562" s="46"/>
      <c r="C562" s="46"/>
      <c r="D562" s="46"/>
      <c r="E562" s="46"/>
      <c r="F562" s="46"/>
      <c r="G562" s="46"/>
    </row>
    <row r="563" spans="1:7" ht="15" thickBot="1">
      <c r="A563" s="46"/>
      <c r="B563" s="46"/>
      <c r="C563" s="46"/>
      <c r="D563" s="46"/>
      <c r="E563" s="46"/>
      <c r="F563" s="46"/>
      <c r="G563" s="46"/>
    </row>
    <row r="564" spans="1:7" ht="15" thickBot="1">
      <c r="A564" s="46"/>
      <c r="B564" s="46"/>
      <c r="C564" s="46"/>
      <c r="D564" s="46"/>
      <c r="E564" s="46"/>
      <c r="F564" s="46"/>
      <c r="G564" s="46"/>
    </row>
    <row r="565" spans="1:7" ht="15" thickBot="1">
      <c r="A565" s="46"/>
      <c r="B565" s="46"/>
      <c r="C565" s="46"/>
      <c r="D565" s="46"/>
      <c r="E565" s="46"/>
      <c r="F565" s="46"/>
      <c r="G565" s="46"/>
    </row>
    <row r="566" spans="1:7" ht="15" thickBot="1">
      <c r="A566" s="46"/>
      <c r="B566" s="46"/>
      <c r="C566" s="46"/>
      <c r="D566" s="46"/>
      <c r="E566" s="46"/>
      <c r="F566" s="46"/>
      <c r="G566" s="46"/>
    </row>
    <row r="567" spans="1:7" ht="15" thickBot="1">
      <c r="A567" s="46"/>
      <c r="B567" s="46"/>
      <c r="C567" s="46"/>
      <c r="D567" s="46"/>
      <c r="E567" s="46"/>
      <c r="F567" s="46"/>
      <c r="G567" s="46"/>
    </row>
    <row r="568" spans="1:7" ht="15" thickBot="1">
      <c r="A568" s="46"/>
      <c r="B568" s="46"/>
      <c r="C568" s="46"/>
      <c r="D568" s="46"/>
      <c r="E568" s="46"/>
      <c r="F568" s="46"/>
      <c r="G568" s="46"/>
    </row>
    <row r="569" spans="1:7" ht="15" thickBot="1">
      <c r="A569" s="46"/>
      <c r="B569" s="46"/>
      <c r="C569" s="46"/>
      <c r="D569" s="46"/>
      <c r="E569" s="46"/>
      <c r="F569" s="46"/>
      <c r="G569" s="46"/>
    </row>
    <row r="570" spans="1:7" ht="15" thickBot="1">
      <c r="A570" s="46"/>
      <c r="B570" s="46"/>
      <c r="C570" s="46"/>
      <c r="D570" s="46"/>
      <c r="E570" s="46"/>
      <c r="F570" s="46"/>
      <c r="G570" s="46"/>
    </row>
    <row r="571" spans="1:7" ht="15" thickBot="1">
      <c r="A571" s="46"/>
      <c r="B571" s="46"/>
      <c r="C571" s="46"/>
      <c r="D571" s="46"/>
      <c r="E571" s="46"/>
      <c r="F571" s="46"/>
      <c r="G571" s="46"/>
    </row>
    <row r="572" spans="1:7" ht="15" thickBot="1">
      <c r="A572" s="46"/>
      <c r="B572" s="46"/>
      <c r="C572" s="46"/>
      <c r="D572" s="46"/>
      <c r="E572" s="46"/>
      <c r="F572" s="46"/>
      <c r="G572" s="46"/>
    </row>
    <row r="573" spans="1:7" ht="15" thickBot="1">
      <c r="A573" s="46"/>
      <c r="B573" s="46"/>
      <c r="C573" s="46"/>
      <c r="D573" s="46"/>
      <c r="E573" s="46"/>
      <c r="F573" s="46"/>
      <c r="G573" s="46"/>
    </row>
    <row r="574" spans="1:7" ht="15" thickBot="1">
      <c r="A574" s="46"/>
      <c r="B574" s="46"/>
      <c r="C574" s="46"/>
      <c r="D574" s="46"/>
      <c r="E574" s="46"/>
      <c r="F574" s="46"/>
      <c r="G574" s="46"/>
    </row>
    <row r="575" spans="1:7" ht="15" thickBot="1">
      <c r="A575" s="46"/>
      <c r="B575" s="46"/>
      <c r="C575" s="46"/>
      <c r="D575" s="46"/>
      <c r="E575" s="46"/>
      <c r="F575" s="46"/>
      <c r="G575" s="46"/>
    </row>
    <row r="576" spans="1:7" ht="15" thickBot="1">
      <c r="A576" s="46"/>
      <c r="B576" s="46"/>
      <c r="C576" s="46"/>
      <c r="D576" s="46"/>
      <c r="E576" s="46"/>
      <c r="F576" s="46"/>
      <c r="G576" s="46"/>
    </row>
    <row r="577" spans="1:7" ht="15" thickBot="1">
      <c r="A577" s="46"/>
      <c r="B577" s="46"/>
      <c r="C577" s="46"/>
      <c r="D577" s="46"/>
      <c r="E577" s="46"/>
      <c r="F577" s="46"/>
      <c r="G577" s="46"/>
    </row>
    <row r="578" spans="1:7" ht="15" thickBot="1">
      <c r="A578" s="46"/>
      <c r="B578" s="46"/>
      <c r="C578" s="46"/>
      <c r="D578" s="46"/>
      <c r="E578" s="46"/>
      <c r="F578" s="46"/>
      <c r="G578" s="46"/>
    </row>
    <row r="579" spans="1:7" ht="15" thickBot="1">
      <c r="A579" s="46"/>
      <c r="B579" s="46"/>
      <c r="C579" s="46"/>
      <c r="D579" s="46"/>
      <c r="E579" s="46"/>
      <c r="F579" s="46"/>
      <c r="G579" s="46"/>
    </row>
    <row r="580" spans="1:7" ht="15" thickBot="1">
      <c r="A580" s="46"/>
      <c r="B580" s="46"/>
      <c r="C580" s="46"/>
      <c r="D580" s="46"/>
      <c r="E580" s="46"/>
      <c r="F580" s="46"/>
      <c r="G580" s="46"/>
    </row>
    <row r="581" spans="1:7" ht="15" thickBot="1">
      <c r="A581" s="46"/>
      <c r="B581" s="46"/>
      <c r="C581" s="46"/>
      <c r="D581" s="46"/>
      <c r="E581" s="46"/>
      <c r="F581" s="46"/>
      <c r="G581" s="46"/>
    </row>
    <row r="582" spans="1:7" ht="15" thickBot="1">
      <c r="A582" s="46"/>
      <c r="B582" s="46"/>
      <c r="C582" s="46"/>
      <c r="D582" s="46"/>
      <c r="E582" s="46"/>
      <c r="F582" s="46"/>
      <c r="G582" s="46"/>
    </row>
    <row r="583" spans="1:7" ht="15" thickBot="1">
      <c r="A583" s="46"/>
      <c r="B583" s="46"/>
      <c r="C583" s="46"/>
      <c r="D583" s="46"/>
      <c r="E583" s="46"/>
      <c r="F583" s="46"/>
      <c r="G583" s="46"/>
    </row>
    <row r="584" spans="1:7" ht="15" thickBot="1">
      <c r="A584" s="46"/>
      <c r="B584" s="46"/>
      <c r="C584" s="46"/>
      <c r="D584" s="46"/>
      <c r="E584" s="46"/>
      <c r="F584" s="46"/>
      <c r="G584" s="46"/>
    </row>
    <row r="585" spans="1:7" ht="15" thickBot="1">
      <c r="A585" s="46"/>
      <c r="B585" s="46"/>
      <c r="C585" s="46"/>
      <c r="D585" s="46"/>
      <c r="E585" s="46"/>
      <c r="F585" s="46"/>
      <c r="G585" s="46"/>
    </row>
    <row r="586" spans="1:7" ht="15" thickBot="1">
      <c r="A586" s="46"/>
      <c r="B586" s="46"/>
      <c r="C586" s="46"/>
      <c r="D586" s="46"/>
      <c r="E586" s="46"/>
      <c r="F586" s="46"/>
      <c r="G586" s="46"/>
    </row>
    <row r="587" spans="1:7" ht="15" thickBot="1">
      <c r="A587" s="46"/>
      <c r="B587" s="46"/>
      <c r="C587" s="46"/>
      <c r="D587" s="46"/>
      <c r="E587" s="46"/>
      <c r="F587" s="46"/>
      <c r="G587" s="46"/>
    </row>
    <row r="588" spans="1:7" ht="15" thickBot="1">
      <c r="A588" s="46"/>
      <c r="B588" s="46"/>
      <c r="C588" s="46"/>
      <c r="D588" s="46"/>
      <c r="E588" s="46"/>
      <c r="F588" s="46"/>
      <c r="G588" s="46"/>
    </row>
    <row r="589" spans="1:7" ht="15" thickBot="1">
      <c r="A589" s="46"/>
      <c r="B589" s="46"/>
      <c r="C589" s="46"/>
      <c r="D589" s="46"/>
      <c r="E589" s="46"/>
      <c r="F589" s="46"/>
      <c r="G589" s="46"/>
    </row>
    <row r="590" spans="1:7" ht="15" thickBot="1">
      <c r="A590" s="46"/>
      <c r="B590" s="46"/>
      <c r="C590" s="46"/>
      <c r="D590" s="46"/>
      <c r="E590" s="46"/>
      <c r="F590" s="46"/>
      <c r="G590" s="46"/>
    </row>
    <row r="591" spans="1:7" ht="15" thickBot="1">
      <c r="A591" s="46"/>
      <c r="B591" s="46"/>
      <c r="C591" s="46"/>
      <c r="D591" s="46"/>
      <c r="E591" s="46"/>
      <c r="F591" s="46"/>
      <c r="G591" s="46"/>
    </row>
    <row r="592" spans="1:7" ht="15" thickBot="1">
      <c r="A592" s="46"/>
      <c r="B592" s="46"/>
      <c r="C592" s="46"/>
      <c r="D592" s="46"/>
      <c r="E592" s="46"/>
      <c r="F592" s="46"/>
      <c r="G592" s="46"/>
    </row>
    <row r="593" spans="1:7" ht="15" thickBot="1">
      <c r="A593" s="46"/>
      <c r="B593" s="46"/>
      <c r="C593" s="46"/>
      <c r="D593" s="46"/>
      <c r="E593" s="46"/>
      <c r="F593" s="46"/>
      <c r="G593" s="46"/>
    </row>
    <row r="594" spans="1:7" ht="15" thickBot="1">
      <c r="A594" s="46"/>
      <c r="B594" s="46"/>
      <c r="C594" s="46"/>
      <c r="D594" s="46"/>
      <c r="E594" s="46"/>
      <c r="F594" s="46"/>
      <c r="G594" s="46"/>
    </row>
    <row r="595" spans="1:7" ht="15" thickBot="1">
      <c r="A595" s="46"/>
      <c r="B595" s="46"/>
      <c r="C595" s="46"/>
      <c r="D595" s="46"/>
      <c r="E595" s="46"/>
      <c r="F595" s="46"/>
      <c r="G595" s="46"/>
    </row>
    <row r="596" spans="1:7" ht="15" thickBot="1">
      <c r="A596" s="46"/>
      <c r="B596" s="46"/>
      <c r="C596" s="46"/>
      <c r="D596" s="46"/>
      <c r="E596" s="46"/>
      <c r="F596" s="46"/>
      <c r="G596" s="46"/>
    </row>
    <row r="597" spans="1:7" ht="15" thickBot="1">
      <c r="A597" s="46"/>
      <c r="B597" s="46"/>
      <c r="C597" s="46"/>
      <c r="D597" s="46"/>
      <c r="E597" s="46"/>
      <c r="F597" s="46"/>
      <c r="G597" s="46"/>
    </row>
    <row r="598" spans="1:7" ht="15" thickBot="1">
      <c r="A598" s="46"/>
      <c r="B598" s="46"/>
      <c r="C598" s="46"/>
      <c r="D598" s="46"/>
      <c r="E598" s="46"/>
      <c r="F598" s="46"/>
      <c r="G598" s="46"/>
    </row>
    <row r="599" spans="1:7" ht="15" thickBot="1">
      <c r="A599" s="46"/>
      <c r="B599" s="46"/>
      <c r="C599" s="46"/>
      <c r="D599" s="46"/>
      <c r="E599" s="46"/>
      <c r="F599" s="46"/>
      <c r="G599" s="46"/>
    </row>
    <row r="600" spans="1:7" ht="15" thickBot="1">
      <c r="A600" s="46"/>
      <c r="B600" s="46"/>
      <c r="C600" s="46"/>
      <c r="D600" s="46"/>
      <c r="E600" s="46"/>
      <c r="F600" s="46"/>
      <c r="G600" s="46"/>
    </row>
    <row r="601" spans="1:7" ht="15" thickBot="1">
      <c r="A601" s="46"/>
      <c r="B601" s="46"/>
      <c r="C601" s="46"/>
      <c r="D601" s="46"/>
      <c r="E601" s="46"/>
      <c r="F601" s="46"/>
      <c r="G601" s="46"/>
    </row>
    <row r="602" spans="1:7" ht="15" thickBot="1">
      <c r="A602" s="46"/>
      <c r="B602" s="46"/>
      <c r="C602" s="46"/>
      <c r="D602" s="46"/>
      <c r="E602" s="46"/>
      <c r="F602" s="46"/>
      <c r="G602" s="46"/>
    </row>
    <row r="603" spans="1:7" ht="15" thickBot="1">
      <c r="A603" s="46"/>
      <c r="B603" s="46"/>
      <c r="C603" s="46"/>
      <c r="D603" s="46"/>
      <c r="E603" s="46"/>
      <c r="F603" s="46"/>
      <c r="G603" s="46"/>
    </row>
    <row r="604" spans="1:7" ht="15" thickBot="1">
      <c r="A604" s="46"/>
      <c r="B604" s="46"/>
      <c r="C604" s="46"/>
      <c r="D604" s="46"/>
      <c r="E604" s="46"/>
      <c r="F604" s="46"/>
      <c r="G604" s="46"/>
    </row>
    <row r="605" spans="1:7" ht="15" thickBot="1">
      <c r="A605" s="46"/>
      <c r="B605" s="46"/>
      <c r="C605" s="46"/>
      <c r="D605" s="46"/>
      <c r="E605" s="46"/>
      <c r="F605" s="46"/>
      <c r="G605" s="46"/>
    </row>
    <row r="606" spans="1:7" ht="15" thickBot="1">
      <c r="A606" s="46"/>
      <c r="B606" s="46"/>
      <c r="C606" s="46"/>
      <c r="D606" s="46"/>
      <c r="E606" s="46"/>
      <c r="F606" s="46"/>
      <c r="G606" s="46"/>
    </row>
    <row r="607" spans="1:7" ht="15" thickBot="1">
      <c r="A607" s="46"/>
      <c r="B607" s="46"/>
      <c r="C607" s="46"/>
      <c r="D607" s="46"/>
      <c r="E607" s="46"/>
      <c r="F607" s="46"/>
      <c r="G607" s="46"/>
    </row>
    <row r="608" spans="1:7" ht="15" thickBot="1">
      <c r="A608" s="46"/>
      <c r="B608" s="46"/>
      <c r="C608" s="46"/>
      <c r="D608" s="46"/>
      <c r="E608" s="46"/>
      <c r="F608" s="46"/>
      <c r="G608" s="46"/>
    </row>
    <row r="609" spans="1:7" ht="15" thickBot="1">
      <c r="A609" s="46"/>
      <c r="B609" s="46"/>
      <c r="C609" s="46"/>
      <c r="D609" s="46"/>
      <c r="E609" s="46"/>
      <c r="F609" s="46"/>
      <c r="G609" s="46"/>
    </row>
    <row r="610" spans="1:7" ht="15" thickBot="1">
      <c r="A610" s="46"/>
      <c r="B610" s="46"/>
      <c r="C610" s="46"/>
      <c r="D610" s="46"/>
      <c r="E610" s="46"/>
      <c r="F610" s="46"/>
      <c r="G610" s="46"/>
    </row>
    <row r="611" spans="1:7" ht="15" thickBot="1">
      <c r="A611" s="46"/>
      <c r="B611" s="46"/>
      <c r="C611" s="46"/>
      <c r="D611" s="46"/>
      <c r="E611" s="46"/>
      <c r="F611" s="46"/>
      <c r="G611" s="46"/>
    </row>
    <row r="612" spans="1:7" ht="15" thickBot="1">
      <c r="A612" s="46"/>
      <c r="B612" s="46"/>
      <c r="C612" s="46"/>
      <c r="D612" s="46"/>
      <c r="E612" s="46"/>
      <c r="F612" s="46"/>
      <c r="G612" s="46"/>
    </row>
    <row r="613" spans="1:7" ht="15" thickBot="1">
      <c r="A613" s="46"/>
      <c r="B613" s="46"/>
      <c r="C613" s="46"/>
      <c r="D613" s="46"/>
      <c r="E613" s="46"/>
      <c r="F613" s="46"/>
      <c r="G613" s="46"/>
    </row>
    <row r="614" spans="1:7" ht="15" thickBot="1">
      <c r="A614" s="46"/>
      <c r="B614" s="46"/>
      <c r="C614" s="46"/>
      <c r="D614" s="46"/>
      <c r="E614" s="46"/>
      <c r="F614" s="46"/>
      <c r="G614" s="46"/>
    </row>
    <row r="615" spans="1:7" ht="15" thickBot="1">
      <c r="A615" s="46"/>
      <c r="B615" s="46"/>
      <c r="C615" s="46"/>
      <c r="D615" s="46"/>
      <c r="E615" s="46"/>
      <c r="F615" s="46"/>
      <c r="G615" s="46"/>
    </row>
    <row r="616" spans="1:7" ht="15" thickBot="1">
      <c r="A616" s="46"/>
      <c r="B616" s="46"/>
      <c r="C616" s="46"/>
      <c r="D616" s="46"/>
      <c r="E616" s="46"/>
      <c r="F616" s="46"/>
      <c r="G616" s="46"/>
    </row>
    <row r="617" spans="1:7" ht="15" thickBot="1">
      <c r="A617" s="46"/>
      <c r="B617" s="46"/>
      <c r="C617" s="46"/>
      <c r="D617" s="46"/>
      <c r="E617" s="46"/>
      <c r="F617" s="46"/>
      <c r="G617" s="46"/>
    </row>
    <row r="618" spans="1:7" ht="15" thickBot="1">
      <c r="A618" s="46"/>
      <c r="B618" s="46"/>
      <c r="C618" s="46"/>
      <c r="D618" s="46"/>
      <c r="E618" s="46"/>
      <c r="F618" s="46"/>
      <c r="G618" s="46"/>
    </row>
    <row r="619" spans="1:7" ht="15" thickBot="1">
      <c r="A619" s="46"/>
      <c r="B619" s="46"/>
      <c r="C619" s="46"/>
      <c r="D619" s="46"/>
      <c r="E619" s="46"/>
      <c r="F619" s="46"/>
      <c r="G619" s="46"/>
    </row>
    <row r="620" spans="1:7" ht="15" thickBot="1">
      <c r="A620" s="46"/>
      <c r="B620" s="46"/>
      <c r="C620" s="46"/>
      <c r="D620" s="46"/>
      <c r="E620" s="46"/>
      <c r="F620" s="46"/>
      <c r="G620" s="46"/>
    </row>
    <row r="621" spans="1:7" ht="15" thickBot="1">
      <c r="A621" s="46"/>
      <c r="B621" s="46"/>
      <c r="C621" s="46"/>
      <c r="D621" s="46"/>
      <c r="E621" s="46"/>
      <c r="F621" s="46"/>
      <c r="G621" s="46"/>
    </row>
    <row r="622" spans="1:7" ht="15" thickBot="1">
      <c r="A622" s="46"/>
      <c r="B622" s="46"/>
      <c r="C622" s="46"/>
      <c r="D622" s="46"/>
      <c r="E622" s="46"/>
      <c r="F622" s="46"/>
      <c r="G622" s="46"/>
    </row>
    <row r="623" spans="1:7" ht="15" thickBot="1">
      <c r="A623" s="46"/>
      <c r="B623" s="46"/>
      <c r="C623" s="46"/>
      <c r="D623" s="46"/>
      <c r="E623" s="46"/>
      <c r="F623" s="46"/>
      <c r="G623" s="46"/>
    </row>
    <row r="624" spans="1:7" ht="15" thickBot="1">
      <c r="A624" s="46"/>
      <c r="B624" s="46"/>
      <c r="C624" s="46"/>
      <c r="D624" s="46"/>
      <c r="E624" s="46"/>
      <c r="F624" s="46"/>
      <c r="G624" s="46"/>
    </row>
    <row r="625" spans="1:7" ht="15" thickBot="1">
      <c r="A625" s="46"/>
      <c r="B625" s="46"/>
      <c r="C625" s="46"/>
      <c r="D625" s="46"/>
      <c r="E625" s="46"/>
      <c r="F625" s="46"/>
      <c r="G625" s="46"/>
    </row>
    <row r="626" spans="1:7" ht="15" thickBot="1">
      <c r="A626" s="46"/>
      <c r="B626" s="46"/>
      <c r="C626" s="46"/>
      <c r="D626" s="46"/>
      <c r="E626" s="46"/>
      <c r="F626" s="46"/>
      <c r="G626" s="46"/>
    </row>
    <row r="627" spans="1:7" ht="15" thickBot="1">
      <c r="A627" s="46"/>
      <c r="B627" s="46"/>
      <c r="C627" s="46"/>
      <c r="D627" s="46"/>
      <c r="E627" s="46"/>
      <c r="F627" s="46"/>
      <c r="G627" s="46"/>
    </row>
    <row r="628" spans="1:7" ht="15" thickBot="1">
      <c r="A628" s="46"/>
      <c r="B628" s="46"/>
      <c r="C628" s="46"/>
      <c r="D628" s="46"/>
      <c r="E628" s="46"/>
      <c r="F628" s="46"/>
      <c r="G628" s="46"/>
    </row>
    <row r="629" spans="1:7" ht="15" thickBot="1">
      <c r="A629" s="46"/>
      <c r="B629" s="46"/>
      <c r="C629" s="46"/>
      <c r="D629" s="46"/>
      <c r="E629" s="46"/>
      <c r="F629" s="46"/>
      <c r="G629" s="46"/>
    </row>
    <row r="630" spans="1:7" ht="15" thickBot="1">
      <c r="A630" s="46"/>
      <c r="B630" s="46"/>
      <c r="C630" s="46"/>
      <c r="D630" s="46"/>
      <c r="E630" s="46"/>
      <c r="F630" s="46"/>
      <c r="G630" s="46"/>
    </row>
    <row r="631" spans="1:7" ht="15" thickBot="1">
      <c r="A631" s="46"/>
      <c r="B631" s="46"/>
      <c r="C631" s="46"/>
      <c r="D631" s="46"/>
      <c r="E631" s="46"/>
      <c r="F631" s="46"/>
      <c r="G631" s="46"/>
    </row>
    <row r="632" spans="1:7" ht="15" thickBot="1">
      <c r="A632" s="46"/>
      <c r="B632" s="46"/>
      <c r="C632" s="46"/>
      <c r="D632" s="46"/>
      <c r="E632" s="46"/>
      <c r="F632" s="46"/>
      <c r="G632" s="46"/>
    </row>
    <row r="633" spans="1:7" ht="15" thickBot="1">
      <c r="A633" s="46"/>
      <c r="B633" s="46"/>
      <c r="C633" s="46"/>
      <c r="D633" s="46"/>
      <c r="E633" s="46"/>
      <c r="F633" s="46"/>
      <c r="G633" s="46"/>
    </row>
    <row r="634" spans="1:7" ht="15" thickBot="1">
      <c r="A634" s="46"/>
      <c r="B634" s="46"/>
      <c r="C634" s="46"/>
      <c r="D634" s="46"/>
      <c r="E634" s="46"/>
      <c r="F634" s="46"/>
      <c r="G634" s="46"/>
    </row>
    <row r="635" spans="1:7" ht="15" thickBot="1">
      <c r="A635" s="46"/>
      <c r="B635" s="46"/>
      <c r="C635" s="46"/>
      <c r="D635" s="46"/>
      <c r="E635" s="46"/>
      <c r="F635" s="46"/>
      <c r="G635" s="46"/>
    </row>
    <row r="636" spans="1:7" ht="15" thickBot="1">
      <c r="A636" s="46"/>
      <c r="B636" s="46"/>
      <c r="C636" s="46"/>
      <c r="D636" s="46"/>
      <c r="E636" s="46"/>
      <c r="F636" s="46"/>
      <c r="G636" s="46"/>
    </row>
    <row r="637" spans="1:7" ht="15" thickBot="1">
      <c r="A637" s="46"/>
      <c r="B637" s="46"/>
      <c r="C637" s="46"/>
      <c r="D637" s="46"/>
      <c r="E637" s="46"/>
      <c r="F637" s="46"/>
      <c r="G637" s="46"/>
    </row>
    <row r="638" spans="1:7" ht="15" thickBot="1">
      <c r="A638" s="46"/>
      <c r="B638" s="46"/>
      <c r="C638" s="46"/>
      <c r="D638" s="46"/>
      <c r="E638" s="46"/>
      <c r="F638" s="46"/>
      <c r="G638" s="46"/>
    </row>
    <row r="639" spans="1:7" ht="15" thickBot="1">
      <c r="A639" s="46"/>
      <c r="B639" s="46"/>
      <c r="C639" s="46"/>
      <c r="D639" s="46"/>
      <c r="E639" s="46"/>
      <c r="F639" s="46"/>
      <c r="G639" s="46"/>
    </row>
    <row r="640" spans="1:7" ht="15" thickBot="1">
      <c r="A640" s="46"/>
      <c r="B640" s="46"/>
      <c r="C640" s="46"/>
      <c r="D640" s="46"/>
      <c r="E640" s="46"/>
      <c r="F640" s="46"/>
      <c r="G640" s="46"/>
    </row>
    <row r="641" spans="1:7" ht="15" thickBot="1">
      <c r="A641" s="46"/>
      <c r="B641" s="46"/>
      <c r="C641" s="46"/>
      <c r="D641" s="46"/>
      <c r="E641" s="46"/>
      <c r="F641" s="46"/>
      <c r="G641" s="46"/>
    </row>
    <row r="642" spans="1:7" ht="15" thickBot="1">
      <c r="A642" s="46"/>
      <c r="B642" s="46"/>
      <c r="C642" s="46"/>
      <c r="D642" s="46"/>
      <c r="E642" s="46"/>
      <c r="F642" s="46"/>
      <c r="G642" s="46"/>
    </row>
    <row r="643" spans="1:7" ht="15" thickBot="1">
      <c r="A643" s="46"/>
      <c r="B643" s="46"/>
      <c r="C643" s="46"/>
      <c r="D643" s="46"/>
      <c r="E643" s="46"/>
      <c r="F643" s="46"/>
      <c r="G643" s="46"/>
    </row>
    <row r="644" spans="1:7" ht="15" thickBot="1">
      <c r="A644" s="46"/>
      <c r="B644" s="46"/>
      <c r="C644" s="46"/>
      <c r="D644" s="46"/>
      <c r="E644" s="46"/>
      <c r="F644" s="46"/>
      <c r="G644" s="46"/>
    </row>
    <row r="645" spans="1:7" ht="15" thickBot="1">
      <c r="A645" s="46"/>
      <c r="B645" s="46"/>
      <c r="C645" s="46"/>
      <c r="D645" s="46"/>
      <c r="E645" s="46"/>
      <c r="F645" s="46"/>
      <c r="G645" s="46"/>
    </row>
    <row r="646" spans="1:7" ht="15" thickBot="1">
      <c r="A646" s="46"/>
      <c r="B646" s="46"/>
      <c r="C646" s="46"/>
      <c r="D646" s="46"/>
      <c r="E646" s="46"/>
      <c r="F646" s="46"/>
      <c r="G646" s="46"/>
    </row>
    <row r="647" spans="1:7" ht="15" thickBot="1">
      <c r="A647" s="46"/>
      <c r="B647" s="46"/>
      <c r="C647" s="46"/>
      <c r="D647" s="46"/>
      <c r="E647" s="46"/>
      <c r="F647" s="46"/>
      <c r="G647" s="46"/>
    </row>
    <row r="648" spans="1:7" ht="15" thickBot="1">
      <c r="A648" s="46"/>
      <c r="B648" s="46"/>
      <c r="C648" s="46"/>
      <c r="D648" s="46"/>
      <c r="E648" s="46"/>
      <c r="F648" s="46"/>
      <c r="G648" s="46"/>
    </row>
    <row r="649" spans="1:7" ht="15" thickBot="1">
      <c r="A649" s="46"/>
      <c r="B649" s="46"/>
      <c r="C649" s="46"/>
      <c r="D649" s="46"/>
      <c r="E649" s="46"/>
      <c r="F649" s="46"/>
      <c r="G649" s="46"/>
    </row>
    <row r="650" spans="1:7" ht="15" thickBot="1">
      <c r="A650" s="46"/>
      <c r="B650" s="46"/>
      <c r="C650" s="46"/>
      <c r="D650" s="46"/>
      <c r="E650" s="46"/>
      <c r="F650" s="46"/>
      <c r="G650" s="46"/>
    </row>
    <row r="651" spans="1:7" ht="15" thickBot="1">
      <c r="A651" s="46"/>
      <c r="B651" s="46"/>
      <c r="C651" s="46"/>
      <c r="D651" s="46"/>
      <c r="E651" s="46"/>
      <c r="F651" s="46"/>
      <c r="G651" s="46"/>
    </row>
    <row r="652" spans="1:7" ht="15" thickBot="1">
      <c r="A652" s="46"/>
      <c r="B652" s="46"/>
      <c r="C652" s="46"/>
      <c r="D652" s="46"/>
      <c r="E652" s="46"/>
      <c r="F652" s="46"/>
      <c r="G652" s="46"/>
    </row>
    <row r="653" spans="1:7" ht="15" thickBot="1">
      <c r="A653" s="46"/>
      <c r="B653" s="46"/>
      <c r="C653" s="46"/>
      <c r="D653" s="46"/>
      <c r="E653" s="46"/>
      <c r="F653" s="46"/>
      <c r="G653" s="46"/>
    </row>
    <row r="654" spans="1:7" ht="15" thickBot="1">
      <c r="A654" s="46"/>
      <c r="B654" s="46"/>
      <c r="C654" s="46"/>
      <c r="D654" s="46"/>
      <c r="E654" s="46"/>
      <c r="F654" s="46"/>
      <c r="G654" s="46"/>
    </row>
    <row r="655" spans="1:7" ht="15" thickBot="1">
      <c r="A655" s="46"/>
      <c r="B655" s="46"/>
      <c r="C655" s="46"/>
      <c r="D655" s="46"/>
      <c r="E655" s="46"/>
      <c r="F655" s="46"/>
      <c r="G655" s="46"/>
    </row>
    <row r="656" spans="1:7" ht="15" thickBot="1">
      <c r="A656" s="46"/>
      <c r="B656" s="46"/>
      <c r="C656" s="46"/>
      <c r="D656" s="46"/>
      <c r="E656" s="46"/>
      <c r="F656" s="46"/>
      <c r="G656" s="46"/>
    </row>
    <row r="657" spans="1:7" ht="15" thickBot="1">
      <c r="A657" s="46"/>
      <c r="B657" s="46"/>
      <c r="C657" s="46"/>
      <c r="D657" s="46"/>
      <c r="E657" s="46"/>
      <c r="F657" s="46"/>
      <c r="G657" s="46"/>
    </row>
    <row r="658" spans="1:7" ht="15" thickBot="1">
      <c r="A658" s="46"/>
      <c r="B658" s="46"/>
      <c r="C658" s="46"/>
      <c r="D658" s="46"/>
      <c r="E658" s="46"/>
      <c r="F658" s="46"/>
      <c r="G658" s="46"/>
    </row>
    <row r="659" spans="1:7" ht="15" thickBot="1">
      <c r="A659" s="46"/>
      <c r="B659" s="46"/>
      <c r="C659" s="46"/>
      <c r="D659" s="46"/>
      <c r="E659" s="46"/>
      <c r="F659" s="46"/>
      <c r="G659" s="46"/>
    </row>
    <row r="660" spans="1:7" ht="15" thickBot="1">
      <c r="A660" s="46"/>
      <c r="B660" s="46"/>
      <c r="C660" s="46"/>
      <c r="D660" s="46"/>
      <c r="E660" s="46"/>
      <c r="F660" s="46"/>
      <c r="G660" s="46"/>
    </row>
    <row r="661" spans="1:7" ht="15" thickBot="1">
      <c r="A661" s="46"/>
      <c r="B661" s="46"/>
      <c r="C661" s="46"/>
      <c r="D661" s="46"/>
      <c r="E661" s="46"/>
      <c r="F661" s="46"/>
      <c r="G661" s="46"/>
    </row>
    <row r="662" spans="1:7" ht="15" thickBot="1">
      <c r="A662" s="46"/>
      <c r="B662" s="46"/>
      <c r="C662" s="46"/>
      <c r="D662" s="46"/>
      <c r="E662" s="46"/>
      <c r="F662" s="46"/>
      <c r="G662" s="46"/>
    </row>
    <row r="663" spans="1:7" ht="15" thickBot="1">
      <c r="A663" s="46"/>
      <c r="B663" s="46"/>
      <c r="C663" s="46"/>
      <c r="D663" s="46"/>
      <c r="E663" s="46"/>
      <c r="F663" s="46"/>
      <c r="G663" s="46"/>
    </row>
    <row r="664" spans="1:7" ht="15" thickBot="1">
      <c r="A664" s="46"/>
      <c r="B664" s="46"/>
      <c r="C664" s="46"/>
      <c r="D664" s="46"/>
      <c r="E664" s="46"/>
      <c r="F664" s="46"/>
      <c r="G664" s="46"/>
    </row>
    <row r="665" spans="1:7" ht="15" thickBot="1">
      <c r="A665" s="46"/>
      <c r="B665" s="46"/>
      <c r="C665" s="46"/>
      <c r="D665" s="46"/>
      <c r="E665" s="46"/>
      <c r="F665" s="46"/>
      <c r="G665" s="46"/>
    </row>
    <row r="666" spans="1:7" ht="15" thickBot="1">
      <c r="A666" s="46"/>
      <c r="B666" s="46"/>
      <c r="C666" s="46"/>
      <c r="D666" s="46"/>
      <c r="E666" s="46"/>
      <c r="F666" s="46"/>
      <c r="G666" s="46"/>
    </row>
    <row r="667" spans="1:7" ht="15" thickBot="1">
      <c r="A667" s="46"/>
      <c r="B667" s="46"/>
      <c r="C667" s="46"/>
      <c r="D667" s="46"/>
      <c r="E667" s="46"/>
      <c r="F667" s="46"/>
      <c r="G667" s="46"/>
    </row>
    <row r="668" spans="1:7" ht="15" thickBot="1">
      <c r="A668" s="46"/>
      <c r="B668" s="46"/>
      <c r="C668" s="46"/>
      <c r="D668" s="46"/>
      <c r="E668" s="46"/>
      <c r="F668" s="46"/>
      <c r="G668" s="46"/>
    </row>
    <row r="669" spans="1:7" ht="15" thickBot="1">
      <c r="A669" s="46"/>
      <c r="B669" s="46"/>
      <c r="C669" s="46"/>
      <c r="D669" s="46"/>
      <c r="E669" s="46"/>
      <c r="F669" s="46"/>
      <c r="G669" s="46"/>
    </row>
    <row r="670" spans="1:7" ht="15" thickBot="1">
      <c r="A670" s="46"/>
      <c r="B670" s="46"/>
      <c r="C670" s="46"/>
      <c r="D670" s="46"/>
      <c r="E670" s="46"/>
      <c r="F670" s="46"/>
      <c r="G670" s="46"/>
    </row>
    <row r="671" spans="1:7" ht="15" thickBot="1">
      <c r="A671" s="46"/>
      <c r="B671" s="46"/>
      <c r="C671" s="46"/>
      <c r="D671" s="46"/>
      <c r="E671" s="46"/>
      <c r="F671" s="46"/>
      <c r="G671" s="46"/>
    </row>
    <row r="672" spans="1:7" ht="15" thickBot="1">
      <c r="A672" s="46"/>
      <c r="B672" s="46"/>
      <c r="C672" s="46"/>
      <c r="D672" s="46"/>
      <c r="E672" s="46"/>
      <c r="F672" s="46"/>
      <c r="G672" s="46"/>
    </row>
    <row r="673" spans="1:7" ht="15" thickBot="1">
      <c r="A673" s="46"/>
      <c r="B673" s="46"/>
      <c r="C673" s="46"/>
      <c r="D673" s="46"/>
      <c r="E673" s="46"/>
      <c r="F673" s="46"/>
      <c r="G673" s="46"/>
    </row>
    <row r="674" spans="1:7" ht="15" thickBot="1">
      <c r="A674" s="46"/>
      <c r="B674" s="46"/>
      <c r="C674" s="46"/>
      <c r="D674" s="46"/>
      <c r="E674" s="46"/>
      <c r="F674" s="46"/>
      <c r="G674" s="46"/>
    </row>
    <row r="675" spans="1:7" ht="15" thickBot="1">
      <c r="A675" s="46"/>
      <c r="B675" s="46"/>
      <c r="C675" s="46"/>
      <c r="D675" s="46"/>
      <c r="E675" s="46"/>
      <c r="F675" s="46"/>
      <c r="G675" s="46"/>
    </row>
    <row r="676" spans="1:7" ht="15" thickBot="1">
      <c r="A676" s="46"/>
      <c r="B676" s="46"/>
      <c r="C676" s="46"/>
      <c r="D676" s="46"/>
      <c r="E676" s="46"/>
      <c r="F676" s="46"/>
      <c r="G676" s="46"/>
    </row>
    <row r="677" spans="1:7" ht="15" thickBot="1">
      <c r="A677" s="46"/>
      <c r="B677" s="46"/>
      <c r="C677" s="46"/>
      <c r="D677" s="46"/>
      <c r="E677" s="46"/>
      <c r="F677" s="46"/>
      <c r="G677" s="46"/>
    </row>
    <row r="678" spans="1:7" ht="15" thickBot="1">
      <c r="A678" s="46"/>
      <c r="B678" s="46"/>
      <c r="C678" s="46"/>
      <c r="D678" s="46"/>
      <c r="E678" s="46"/>
      <c r="F678" s="46"/>
      <c r="G678" s="46"/>
    </row>
    <row r="679" spans="1:7" ht="15" thickBot="1">
      <c r="A679" s="46"/>
      <c r="B679" s="46"/>
      <c r="C679" s="46"/>
      <c r="D679" s="46"/>
      <c r="E679" s="46"/>
      <c r="F679" s="46"/>
      <c r="G679" s="46"/>
    </row>
    <row r="680" spans="1:7" ht="15" thickBot="1">
      <c r="A680" s="46"/>
      <c r="B680" s="46"/>
      <c r="C680" s="46"/>
      <c r="D680" s="46"/>
      <c r="E680" s="46"/>
      <c r="F680" s="46"/>
      <c r="G680" s="46"/>
    </row>
    <row r="681" spans="1:7" ht="15" thickBot="1">
      <c r="A681" s="46"/>
      <c r="B681" s="46"/>
      <c r="C681" s="46"/>
      <c r="D681" s="46"/>
      <c r="E681" s="46"/>
      <c r="F681" s="46"/>
      <c r="G681" s="46"/>
    </row>
    <row r="682" spans="1:7" ht="15" thickBot="1">
      <c r="A682" s="46"/>
      <c r="B682" s="46"/>
      <c r="C682" s="46"/>
      <c r="D682" s="46"/>
      <c r="E682" s="46"/>
      <c r="F682" s="46"/>
      <c r="G682" s="46"/>
    </row>
    <row r="683" spans="1:7" ht="15" thickBot="1">
      <c r="A683" s="46"/>
      <c r="B683" s="46"/>
      <c r="C683" s="46"/>
      <c r="D683" s="46"/>
      <c r="E683" s="46"/>
      <c r="F683" s="46"/>
      <c r="G683" s="46"/>
    </row>
    <row r="684" spans="1:7" ht="15" thickBot="1">
      <c r="A684" s="46"/>
      <c r="B684" s="46"/>
      <c r="C684" s="46"/>
      <c r="D684" s="46"/>
      <c r="E684" s="46"/>
      <c r="F684" s="46"/>
      <c r="G684" s="46"/>
    </row>
    <row r="685" spans="1:7" ht="15" thickBot="1">
      <c r="A685" s="46"/>
      <c r="B685" s="46"/>
      <c r="C685" s="46"/>
      <c r="D685" s="46"/>
      <c r="E685" s="46"/>
      <c r="F685" s="46"/>
      <c r="G685" s="46"/>
    </row>
    <row r="686" spans="1:7" ht="15" thickBot="1">
      <c r="A686" s="46"/>
      <c r="B686" s="46"/>
      <c r="C686" s="46"/>
      <c r="D686" s="46"/>
      <c r="E686" s="46"/>
      <c r="F686" s="46"/>
      <c r="G686" s="46"/>
    </row>
    <row r="687" spans="1:7" ht="15" thickBot="1">
      <c r="A687" s="46"/>
      <c r="B687" s="46"/>
      <c r="C687" s="46"/>
      <c r="D687" s="46"/>
      <c r="E687" s="46"/>
      <c r="F687" s="46"/>
      <c r="G687" s="46"/>
    </row>
    <row r="688" spans="1:7" ht="15" thickBot="1">
      <c r="A688" s="46"/>
      <c r="B688" s="46"/>
      <c r="C688" s="46"/>
      <c r="D688" s="46"/>
      <c r="E688" s="46"/>
      <c r="F688" s="46"/>
      <c r="G688" s="46"/>
    </row>
    <row r="689" spans="1:7" ht="15" thickBot="1">
      <c r="A689" s="46"/>
      <c r="B689" s="46"/>
      <c r="C689" s="46"/>
      <c r="D689" s="46"/>
      <c r="E689" s="46"/>
      <c r="F689" s="46"/>
      <c r="G689" s="46"/>
    </row>
    <row r="690" spans="1:7" ht="15" thickBot="1">
      <c r="A690" s="46"/>
      <c r="B690" s="46"/>
      <c r="C690" s="46"/>
      <c r="D690" s="46"/>
      <c r="E690" s="46"/>
      <c r="F690" s="46"/>
      <c r="G690" s="46"/>
    </row>
    <row r="691" spans="1:7" ht="15" thickBot="1">
      <c r="A691" s="46"/>
      <c r="B691" s="46"/>
      <c r="C691" s="46"/>
      <c r="D691" s="46"/>
      <c r="E691" s="46"/>
      <c r="F691" s="46"/>
      <c r="G691" s="46"/>
    </row>
    <row r="692" spans="1:7" ht="15" thickBot="1">
      <c r="A692" s="46"/>
      <c r="B692" s="46"/>
      <c r="C692" s="46"/>
      <c r="D692" s="46"/>
      <c r="E692" s="46"/>
      <c r="F692" s="46"/>
      <c r="G692" s="46"/>
    </row>
    <row r="693" spans="1:7" ht="15" thickBot="1">
      <c r="A693" s="46"/>
      <c r="B693" s="46"/>
      <c r="C693" s="46"/>
      <c r="D693" s="46"/>
      <c r="E693" s="46"/>
      <c r="F693" s="46"/>
      <c r="G693" s="46"/>
    </row>
    <row r="694" spans="1:7" ht="15" thickBot="1">
      <c r="A694" s="46"/>
      <c r="B694" s="46"/>
      <c r="C694" s="46"/>
      <c r="D694" s="46"/>
      <c r="E694" s="46"/>
      <c r="F694" s="46"/>
      <c r="G694" s="46"/>
    </row>
    <row r="695" spans="1:7" ht="15" thickBot="1">
      <c r="A695" s="46"/>
      <c r="B695" s="46"/>
      <c r="C695" s="46"/>
      <c r="D695" s="46"/>
      <c r="E695" s="46"/>
      <c r="F695" s="46"/>
      <c r="G695" s="46"/>
    </row>
    <row r="696" spans="1:7" ht="15" thickBot="1">
      <c r="A696" s="46"/>
      <c r="B696" s="46"/>
      <c r="C696" s="46"/>
      <c r="D696" s="46"/>
      <c r="E696" s="46"/>
      <c r="F696" s="46"/>
      <c r="G696" s="46"/>
    </row>
    <row r="697" spans="1:7" ht="15" thickBot="1">
      <c r="A697" s="46"/>
      <c r="B697" s="46"/>
      <c r="C697" s="46"/>
      <c r="D697" s="46"/>
      <c r="E697" s="46"/>
      <c r="F697" s="46"/>
      <c r="G697" s="46"/>
    </row>
    <row r="698" spans="1:7" ht="15" thickBot="1">
      <c r="A698" s="46"/>
      <c r="B698" s="46"/>
      <c r="C698" s="46"/>
      <c r="D698" s="46"/>
      <c r="E698" s="46"/>
      <c r="F698" s="46"/>
      <c r="G698" s="46"/>
    </row>
    <row r="699" spans="1:7" ht="15" thickBot="1">
      <c r="A699" s="46"/>
      <c r="B699" s="46"/>
      <c r="C699" s="46"/>
      <c r="D699" s="46"/>
      <c r="E699" s="46"/>
      <c r="F699" s="46"/>
      <c r="G699" s="46"/>
    </row>
    <row r="700" spans="1:7" ht="15" thickBot="1">
      <c r="A700" s="46"/>
      <c r="B700" s="46"/>
      <c r="C700" s="46"/>
      <c r="D700" s="46"/>
      <c r="E700" s="46"/>
      <c r="F700" s="46"/>
      <c r="G700" s="46"/>
    </row>
    <row r="701" spans="1:7" ht="15" thickBot="1">
      <c r="A701" s="46"/>
      <c r="B701" s="46"/>
      <c r="C701" s="46"/>
      <c r="D701" s="46"/>
      <c r="E701" s="46"/>
      <c r="F701" s="46"/>
      <c r="G701" s="46"/>
    </row>
    <row r="702" spans="1:7" ht="15" thickBot="1">
      <c r="A702" s="46"/>
      <c r="B702" s="46"/>
      <c r="C702" s="46"/>
      <c r="D702" s="46"/>
      <c r="E702" s="46"/>
      <c r="F702" s="46"/>
      <c r="G702" s="46"/>
    </row>
    <row r="703" spans="1:7" ht="15" thickBot="1">
      <c r="A703" s="46"/>
      <c r="B703" s="46"/>
      <c r="C703" s="46"/>
      <c r="D703" s="46"/>
      <c r="E703" s="46"/>
      <c r="F703" s="46"/>
      <c r="G703" s="46"/>
    </row>
    <row r="704" spans="1:7" ht="15" thickBot="1">
      <c r="A704" s="46"/>
      <c r="B704" s="46"/>
      <c r="C704" s="46"/>
      <c r="D704" s="46"/>
      <c r="E704" s="46"/>
      <c r="F704" s="46"/>
      <c r="G704" s="46"/>
    </row>
    <row r="705" spans="1:7" ht="15" thickBot="1">
      <c r="A705" s="46"/>
      <c r="B705" s="46"/>
      <c r="C705" s="46"/>
      <c r="D705" s="46"/>
      <c r="E705" s="46"/>
      <c r="F705" s="46"/>
      <c r="G705" s="46"/>
    </row>
    <row r="706" spans="1:7" ht="15" thickBot="1">
      <c r="A706" s="46"/>
      <c r="B706" s="46"/>
      <c r="C706" s="46"/>
      <c r="D706" s="46"/>
      <c r="E706" s="46"/>
      <c r="F706" s="46"/>
      <c r="G706" s="46"/>
    </row>
    <row r="707" spans="1:7" ht="15" thickBot="1">
      <c r="A707" s="46"/>
      <c r="B707" s="46"/>
      <c r="C707" s="46"/>
      <c r="D707" s="46"/>
      <c r="E707" s="46"/>
      <c r="F707" s="46"/>
      <c r="G707" s="46"/>
    </row>
    <row r="708" spans="1:7" ht="15" thickBot="1">
      <c r="A708" s="46"/>
      <c r="B708" s="46"/>
      <c r="C708" s="46"/>
      <c r="D708" s="46"/>
      <c r="E708" s="46"/>
      <c r="F708" s="46"/>
      <c r="G708" s="46"/>
    </row>
    <row r="709" spans="1:7" ht="15" thickBot="1">
      <c r="A709" s="46"/>
      <c r="B709" s="46"/>
      <c r="C709" s="46"/>
      <c r="D709" s="46"/>
      <c r="E709" s="46"/>
      <c r="F709" s="46"/>
      <c r="G709" s="46"/>
    </row>
    <row r="710" spans="1:7" ht="15" thickBot="1">
      <c r="A710" s="46"/>
      <c r="B710" s="46"/>
      <c r="C710" s="46"/>
      <c r="D710" s="46"/>
      <c r="E710" s="46"/>
      <c r="F710" s="46"/>
      <c r="G710" s="46"/>
    </row>
    <row r="711" spans="1:7" ht="15" thickBot="1">
      <c r="A711" s="46"/>
      <c r="B711" s="46"/>
      <c r="C711" s="46"/>
      <c r="D711" s="46"/>
      <c r="E711" s="46"/>
      <c r="F711" s="46"/>
      <c r="G711" s="46"/>
    </row>
    <row r="712" spans="1:7" ht="15" thickBot="1">
      <c r="A712" s="46"/>
      <c r="B712" s="46"/>
      <c r="C712" s="46"/>
      <c r="D712" s="46"/>
      <c r="E712" s="46"/>
      <c r="F712" s="46"/>
      <c r="G712" s="46"/>
    </row>
    <row r="713" spans="1:7" ht="15" thickBot="1">
      <c r="A713" s="46"/>
      <c r="B713" s="46"/>
      <c r="C713" s="46"/>
      <c r="D713" s="46"/>
      <c r="E713" s="46"/>
      <c r="F713" s="46"/>
      <c r="G713" s="46"/>
    </row>
    <row r="714" spans="1:7" ht="15" thickBot="1">
      <c r="A714" s="46"/>
      <c r="B714" s="46"/>
      <c r="C714" s="46"/>
      <c r="D714" s="46"/>
      <c r="E714" s="46"/>
      <c r="F714" s="46"/>
      <c r="G714" s="46"/>
    </row>
    <row r="715" spans="1:7" ht="15" thickBot="1">
      <c r="A715" s="46"/>
      <c r="B715" s="46"/>
      <c r="C715" s="46"/>
      <c r="D715" s="46"/>
      <c r="E715" s="46"/>
      <c r="F715" s="46"/>
      <c r="G715" s="46"/>
    </row>
    <row r="716" spans="1:7" ht="15" thickBot="1">
      <c r="A716" s="46"/>
      <c r="B716" s="46"/>
      <c r="C716" s="46"/>
      <c r="D716" s="46"/>
      <c r="E716" s="46"/>
      <c r="F716" s="46"/>
      <c r="G716" s="46"/>
    </row>
    <row r="717" spans="1:7" ht="15" thickBot="1">
      <c r="A717" s="46"/>
      <c r="B717" s="46"/>
      <c r="C717" s="46"/>
      <c r="D717" s="46"/>
      <c r="E717" s="46"/>
      <c r="F717" s="46"/>
      <c r="G717" s="46"/>
    </row>
    <row r="718" spans="1:7" ht="15" thickBot="1">
      <c r="A718" s="46"/>
      <c r="B718" s="46"/>
      <c r="C718" s="46"/>
      <c r="D718" s="46"/>
      <c r="E718" s="46"/>
      <c r="F718" s="46"/>
      <c r="G718" s="46"/>
    </row>
    <row r="719" spans="1:7" ht="15" thickBot="1">
      <c r="A719" s="46"/>
      <c r="B719" s="46"/>
      <c r="C719" s="46"/>
      <c r="D719" s="46"/>
      <c r="E719" s="46"/>
      <c r="F719" s="46"/>
      <c r="G719" s="46"/>
    </row>
    <row r="720" spans="1:7" ht="15" thickBot="1">
      <c r="A720" s="46"/>
      <c r="B720" s="46"/>
      <c r="C720" s="46"/>
      <c r="D720" s="46"/>
      <c r="E720" s="46"/>
      <c r="F720" s="46"/>
      <c r="G720" s="46"/>
    </row>
    <row r="721" spans="1:7" ht="15" thickBot="1">
      <c r="A721" s="46"/>
      <c r="B721" s="46"/>
      <c r="C721" s="46"/>
      <c r="D721" s="46"/>
      <c r="E721" s="46"/>
      <c r="F721" s="46"/>
      <c r="G721" s="46"/>
    </row>
    <row r="722" spans="1:7" ht="15" thickBot="1">
      <c r="A722" s="46"/>
      <c r="B722" s="46"/>
      <c r="C722" s="46"/>
      <c r="D722" s="46"/>
      <c r="E722" s="46"/>
      <c r="F722" s="46"/>
      <c r="G722" s="46"/>
    </row>
    <row r="723" spans="1:7" ht="15" thickBot="1">
      <c r="A723" s="46"/>
      <c r="B723" s="46"/>
      <c r="C723" s="46"/>
      <c r="D723" s="46"/>
      <c r="E723" s="46"/>
      <c r="F723" s="46"/>
      <c r="G723" s="46"/>
    </row>
    <row r="724" spans="1:7" ht="15" thickBot="1">
      <c r="A724" s="46"/>
      <c r="B724" s="46"/>
      <c r="C724" s="46"/>
      <c r="D724" s="46"/>
      <c r="E724" s="46"/>
      <c r="F724" s="46"/>
      <c r="G724" s="46"/>
    </row>
    <row r="725" spans="1:7" ht="15" thickBot="1">
      <c r="A725" s="46"/>
      <c r="B725" s="46"/>
      <c r="C725" s="46"/>
      <c r="D725" s="46"/>
      <c r="E725" s="46"/>
      <c r="F725" s="46"/>
      <c r="G725" s="46"/>
    </row>
    <row r="726" spans="1:7" ht="15" thickBot="1">
      <c r="A726" s="46"/>
      <c r="B726" s="46"/>
      <c r="C726" s="46"/>
      <c r="D726" s="46"/>
      <c r="E726" s="46"/>
      <c r="F726" s="46"/>
      <c r="G726" s="46"/>
    </row>
    <row r="727" spans="1:7" ht="15" thickBot="1">
      <c r="A727" s="46"/>
      <c r="B727" s="46"/>
      <c r="C727" s="46"/>
      <c r="D727" s="46"/>
      <c r="E727" s="46"/>
      <c r="F727" s="46"/>
      <c r="G727" s="46"/>
    </row>
    <row r="728" spans="1:7" ht="15" thickBot="1">
      <c r="A728" s="46"/>
      <c r="B728" s="46"/>
      <c r="C728" s="46"/>
      <c r="D728" s="46"/>
      <c r="E728" s="46"/>
      <c r="F728" s="46"/>
      <c r="G728" s="46"/>
    </row>
    <row r="729" spans="1:7" ht="15" thickBot="1">
      <c r="A729" s="46"/>
      <c r="B729" s="46"/>
      <c r="C729" s="46"/>
      <c r="D729" s="46"/>
      <c r="E729" s="46"/>
      <c r="F729" s="46"/>
      <c r="G729" s="46"/>
    </row>
    <row r="730" spans="1:7" ht="15" thickBot="1">
      <c r="A730" s="46"/>
      <c r="B730" s="46"/>
      <c r="C730" s="46"/>
      <c r="D730" s="46"/>
      <c r="E730" s="46"/>
      <c r="F730" s="46"/>
      <c r="G730" s="46"/>
    </row>
    <row r="731" spans="1:7" ht="15" thickBot="1">
      <c r="A731" s="46"/>
      <c r="B731" s="46"/>
      <c r="C731" s="46"/>
      <c r="D731" s="46"/>
      <c r="E731" s="46"/>
      <c r="F731" s="46"/>
      <c r="G731" s="46"/>
    </row>
    <row r="732" spans="1:7" ht="15" thickBot="1">
      <c r="A732" s="46"/>
      <c r="B732" s="46"/>
      <c r="C732" s="46"/>
      <c r="D732" s="46"/>
      <c r="E732" s="46"/>
      <c r="F732" s="46"/>
      <c r="G732" s="46"/>
    </row>
    <row r="733" spans="1:7" ht="15" thickBot="1">
      <c r="A733" s="46"/>
      <c r="B733" s="46"/>
      <c r="C733" s="46"/>
      <c r="D733" s="46"/>
      <c r="E733" s="46"/>
      <c r="F733" s="46"/>
      <c r="G733" s="46"/>
    </row>
    <row r="734" spans="1:7" ht="15" thickBot="1">
      <c r="A734" s="46"/>
      <c r="B734" s="46"/>
      <c r="C734" s="46"/>
      <c r="D734" s="46"/>
      <c r="E734" s="46"/>
      <c r="F734" s="46"/>
      <c r="G734" s="46"/>
    </row>
    <row r="735" spans="1:7" ht="15" thickBot="1">
      <c r="A735" s="46"/>
      <c r="B735" s="46"/>
      <c r="C735" s="46"/>
      <c r="D735" s="46"/>
      <c r="E735" s="46"/>
      <c r="F735" s="46"/>
      <c r="G735" s="46"/>
    </row>
    <row r="736" spans="1:7" ht="15" thickBot="1">
      <c r="A736" s="46"/>
      <c r="B736" s="46"/>
      <c r="C736" s="46"/>
      <c r="D736" s="46"/>
      <c r="E736" s="46"/>
      <c r="F736" s="46"/>
      <c r="G736" s="46"/>
    </row>
    <row r="737" spans="1:7" ht="15" thickBot="1">
      <c r="A737" s="46"/>
      <c r="B737" s="46"/>
      <c r="C737" s="46"/>
      <c r="D737" s="46"/>
      <c r="E737" s="46"/>
      <c r="F737" s="46"/>
      <c r="G737" s="46"/>
    </row>
    <row r="738" spans="1:7" ht="15" thickBot="1">
      <c r="A738" s="46"/>
      <c r="B738" s="46"/>
      <c r="C738" s="46"/>
      <c r="D738" s="46"/>
      <c r="E738" s="46"/>
      <c r="F738" s="46"/>
      <c r="G738" s="46"/>
    </row>
    <row r="739" spans="1:7" ht="15" thickBot="1">
      <c r="A739" s="46"/>
      <c r="B739" s="46"/>
      <c r="C739" s="46"/>
      <c r="D739" s="46"/>
      <c r="E739" s="46"/>
      <c r="F739" s="46"/>
      <c r="G739" s="46"/>
    </row>
    <row r="740" spans="1:7" ht="15" thickBot="1">
      <c r="A740" s="46"/>
      <c r="B740" s="46"/>
      <c r="C740" s="46"/>
      <c r="D740" s="46"/>
      <c r="E740" s="46"/>
      <c r="F740" s="46"/>
      <c r="G740" s="46"/>
    </row>
    <row r="741" spans="1:7" ht="15" thickBot="1">
      <c r="A741" s="46"/>
      <c r="B741" s="46"/>
      <c r="C741" s="46"/>
      <c r="D741" s="46"/>
      <c r="E741" s="46"/>
      <c r="F741" s="46"/>
      <c r="G741" s="46"/>
    </row>
    <row r="742" spans="1:7" ht="15" thickBot="1">
      <c r="A742" s="46"/>
      <c r="B742" s="46"/>
      <c r="C742" s="46"/>
      <c r="D742" s="46"/>
      <c r="E742" s="46"/>
      <c r="F742" s="46"/>
      <c r="G742" s="46"/>
    </row>
    <row r="743" spans="1:7" ht="15" thickBot="1">
      <c r="A743" s="46"/>
      <c r="B743" s="46"/>
      <c r="C743" s="46"/>
      <c r="D743" s="46"/>
      <c r="E743" s="46"/>
      <c r="F743" s="46"/>
      <c r="G743" s="46"/>
    </row>
    <row r="744" spans="1:7" ht="15" thickBot="1">
      <c r="A744" s="46"/>
      <c r="B744" s="46"/>
      <c r="C744" s="46"/>
      <c r="D744" s="46"/>
      <c r="E744" s="46"/>
      <c r="F744" s="46"/>
      <c r="G744" s="46"/>
    </row>
    <row r="745" spans="1:7" ht="15" thickBot="1">
      <c r="A745" s="46"/>
      <c r="B745" s="46"/>
      <c r="C745" s="46"/>
      <c r="D745" s="46"/>
      <c r="E745" s="46"/>
      <c r="F745" s="46"/>
      <c r="G745" s="46"/>
    </row>
    <row r="746" spans="1:7" ht="15" thickBot="1">
      <c r="A746" s="46"/>
      <c r="B746" s="46"/>
      <c r="C746" s="46"/>
      <c r="D746" s="46"/>
      <c r="E746" s="46"/>
      <c r="F746" s="46"/>
      <c r="G746" s="46"/>
    </row>
    <row r="747" spans="1:7" ht="15" thickBot="1">
      <c r="A747" s="46"/>
      <c r="B747" s="46"/>
      <c r="C747" s="46"/>
      <c r="D747" s="46"/>
      <c r="E747" s="46"/>
      <c r="F747" s="46"/>
      <c r="G747" s="46"/>
    </row>
    <row r="748" spans="1:7" ht="15" thickBot="1">
      <c r="A748" s="46"/>
      <c r="B748" s="46"/>
      <c r="C748" s="46"/>
      <c r="D748" s="46"/>
      <c r="E748" s="46"/>
      <c r="F748" s="46"/>
      <c r="G748" s="46"/>
    </row>
    <row r="749" spans="1:7" ht="15" thickBot="1">
      <c r="A749" s="46"/>
      <c r="B749" s="46"/>
      <c r="C749" s="46"/>
      <c r="D749" s="46"/>
      <c r="E749" s="46"/>
      <c r="F749" s="46"/>
      <c r="G749" s="46"/>
    </row>
    <row r="750" spans="1:7" ht="15" thickBot="1">
      <c r="A750" s="46"/>
      <c r="B750" s="46"/>
      <c r="C750" s="46"/>
      <c r="D750" s="46"/>
      <c r="E750" s="46"/>
      <c r="F750" s="46"/>
      <c r="G750" s="46"/>
    </row>
    <row r="751" spans="1:7" ht="15" thickBot="1">
      <c r="A751" s="46"/>
      <c r="B751" s="46"/>
      <c r="C751" s="46"/>
      <c r="D751" s="46"/>
      <c r="E751" s="46"/>
      <c r="F751" s="46"/>
      <c r="G751" s="46"/>
    </row>
    <row r="752" spans="1:7" ht="15" thickBot="1">
      <c r="A752" s="46"/>
      <c r="B752" s="46"/>
      <c r="C752" s="46"/>
      <c r="D752" s="46"/>
      <c r="E752" s="46"/>
      <c r="F752" s="46"/>
      <c r="G752" s="46"/>
    </row>
    <row r="753" spans="1:7" ht="15" thickBot="1">
      <c r="A753" s="46"/>
      <c r="B753" s="46"/>
      <c r="C753" s="46"/>
      <c r="D753" s="46"/>
      <c r="E753" s="46"/>
      <c r="F753" s="46"/>
      <c r="G753" s="46"/>
    </row>
    <row r="754" spans="1:7" ht="15" thickBot="1">
      <c r="A754" s="46"/>
      <c r="B754" s="46"/>
      <c r="C754" s="46"/>
      <c r="D754" s="46"/>
      <c r="E754" s="46"/>
      <c r="F754" s="46"/>
      <c r="G754" s="46"/>
    </row>
    <row r="755" spans="1:7" ht="15" thickBot="1">
      <c r="A755" s="46"/>
      <c r="B755" s="46"/>
      <c r="C755" s="46"/>
      <c r="D755" s="46"/>
      <c r="E755" s="46"/>
      <c r="F755" s="46"/>
      <c r="G755" s="46"/>
    </row>
    <row r="756" spans="1:7" ht="15" thickBot="1">
      <c r="A756" s="46"/>
      <c r="B756" s="46"/>
      <c r="C756" s="46"/>
      <c r="D756" s="46"/>
      <c r="E756" s="46"/>
      <c r="F756" s="46"/>
      <c r="G756" s="46"/>
    </row>
    <row r="757" spans="1:7" ht="15" thickBot="1">
      <c r="A757" s="46"/>
      <c r="B757" s="46"/>
      <c r="C757" s="46"/>
      <c r="D757" s="46"/>
      <c r="E757" s="46"/>
      <c r="F757" s="46"/>
      <c r="G757" s="46"/>
    </row>
    <row r="758" spans="1:7" ht="15" thickBot="1">
      <c r="A758" s="46"/>
      <c r="B758" s="46"/>
      <c r="C758" s="46"/>
      <c r="D758" s="46"/>
      <c r="E758" s="46"/>
      <c r="F758" s="46"/>
      <c r="G758" s="46"/>
    </row>
    <row r="759" spans="1:7" ht="15" thickBot="1">
      <c r="A759" s="46"/>
      <c r="B759" s="46"/>
      <c r="C759" s="46"/>
      <c r="D759" s="46"/>
      <c r="E759" s="46"/>
      <c r="F759" s="46"/>
      <c r="G759" s="46"/>
    </row>
    <row r="760" spans="1:7" ht="15" thickBot="1">
      <c r="A760" s="46"/>
      <c r="B760" s="46"/>
      <c r="C760" s="46"/>
      <c r="D760" s="46"/>
      <c r="E760" s="46"/>
      <c r="F760" s="46"/>
      <c r="G760" s="46"/>
    </row>
    <row r="761" spans="1:7" ht="15" thickBot="1">
      <c r="A761" s="46"/>
      <c r="B761" s="46"/>
      <c r="C761" s="46"/>
      <c r="D761" s="46"/>
      <c r="E761" s="46"/>
      <c r="F761" s="46"/>
      <c r="G761" s="46"/>
    </row>
    <row r="762" spans="1:7" ht="15" thickBot="1">
      <c r="A762" s="46"/>
      <c r="B762" s="46"/>
      <c r="C762" s="46"/>
      <c r="D762" s="46"/>
      <c r="E762" s="46"/>
      <c r="F762" s="46"/>
      <c r="G762" s="46"/>
    </row>
    <row r="763" spans="1:7" ht="15" thickBot="1">
      <c r="A763" s="46"/>
      <c r="B763" s="46"/>
      <c r="C763" s="46"/>
      <c r="D763" s="46"/>
      <c r="E763" s="46"/>
      <c r="F763" s="46"/>
      <c r="G763" s="46"/>
    </row>
    <row r="764" spans="1:7" ht="15" thickBot="1">
      <c r="A764" s="46"/>
      <c r="B764" s="46"/>
      <c r="C764" s="46"/>
      <c r="D764" s="46"/>
      <c r="E764" s="46"/>
      <c r="F764" s="46"/>
      <c r="G764" s="46"/>
    </row>
    <row r="765" spans="1:7" ht="15" thickBot="1">
      <c r="A765" s="46"/>
      <c r="B765" s="46"/>
      <c r="C765" s="46"/>
      <c r="D765" s="46"/>
      <c r="E765" s="46"/>
      <c r="F765" s="46"/>
      <c r="G765" s="46"/>
    </row>
    <row r="766" spans="1:7" ht="15" thickBot="1">
      <c r="A766" s="46"/>
      <c r="B766" s="46"/>
      <c r="C766" s="46"/>
      <c r="D766" s="46"/>
      <c r="E766" s="46"/>
      <c r="F766" s="46"/>
      <c r="G766" s="46"/>
    </row>
    <row r="767" spans="1:7" ht="15" thickBot="1">
      <c r="A767" s="46"/>
      <c r="B767" s="46"/>
      <c r="C767" s="46"/>
      <c r="D767" s="46"/>
      <c r="E767" s="46"/>
      <c r="F767" s="46"/>
      <c r="G767" s="46"/>
    </row>
    <row r="768" spans="1:7" ht="15" thickBot="1">
      <c r="A768" s="46"/>
      <c r="B768" s="46"/>
      <c r="C768" s="46"/>
      <c r="D768" s="46"/>
      <c r="E768" s="46"/>
      <c r="F768" s="46"/>
      <c r="G768" s="46"/>
    </row>
    <row r="769" spans="1:7" ht="15" thickBot="1">
      <c r="A769" s="46"/>
      <c r="B769" s="46"/>
      <c r="C769" s="46"/>
      <c r="D769" s="46"/>
      <c r="E769" s="46"/>
      <c r="F769" s="46"/>
      <c r="G769" s="46"/>
    </row>
    <row r="770" spans="1:7" ht="15" thickBot="1">
      <c r="A770" s="46"/>
      <c r="B770" s="46"/>
      <c r="C770" s="46"/>
      <c r="D770" s="46"/>
      <c r="E770" s="46"/>
      <c r="F770" s="46"/>
      <c r="G770" s="46"/>
    </row>
    <row r="771" spans="1:7" ht="15" thickBot="1">
      <c r="A771" s="46"/>
      <c r="B771" s="46"/>
      <c r="C771" s="46"/>
      <c r="D771" s="46"/>
      <c r="E771" s="46"/>
      <c r="F771" s="46"/>
      <c r="G771" s="46"/>
    </row>
    <row r="772" spans="1:7" ht="15" thickBot="1">
      <c r="A772" s="46"/>
      <c r="B772" s="46"/>
      <c r="C772" s="46"/>
      <c r="D772" s="46"/>
      <c r="E772" s="46"/>
      <c r="F772" s="46"/>
      <c r="G772" s="46"/>
    </row>
    <row r="773" spans="1:7" ht="15" thickBot="1">
      <c r="A773" s="46"/>
      <c r="B773" s="46"/>
      <c r="C773" s="46"/>
      <c r="D773" s="46"/>
      <c r="E773" s="46"/>
      <c r="F773" s="46"/>
      <c r="G773" s="46"/>
    </row>
    <row r="774" spans="1:7" ht="15" thickBot="1">
      <c r="A774" s="46"/>
      <c r="B774" s="46"/>
      <c r="C774" s="46"/>
      <c r="D774" s="46"/>
      <c r="E774" s="46"/>
      <c r="F774" s="46"/>
      <c r="G774" s="46"/>
    </row>
    <row r="775" spans="1:7" ht="15" thickBot="1">
      <c r="A775" s="46"/>
      <c r="B775" s="46"/>
      <c r="C775" s="46"/>
      <c r="D775" s="46"/>
      <c r="E775" s="46"/>
      <c r="F775" s="46"/>
      <c r="G775" s="46"/>
    </row>
    <row r="776" spans="1:7" ht="15" thickBot="1">
      <c r="A776" s="46"/>
      <c r="B776" s="46"/>
      <c r="C776" s="46"/>
      <c r="D776" s="46"/>
      <c r="E776" s="46"/>
      <c r="F776" s="46"/>
      <c r="G776" s="46"/>
    </row>
    <row r="777" spans="1:7" ht="15" thickBot="1">
      <c r="A777" s="46"/>
      <c r="B777" s="46"/>
      <c r="C777" s="46"/>
      <c r="D777" s="46"/>
      <c r="E777" s="46"/>
      <c r="F777" s="46"/>
      <c r="G777" s="46"/>
    </row>
    <row r="778" spans="1:7" ht="15" thickBot="1">
      <c r="A778" s="46"/>
      <c r="B778" s="46"/>
      <c r="C778" s="46"/>
      <c r="D778" s="46"/>
      <c r="E778" s="46"/>
      <c r="F778" s="46"/>
      <c r="G778" s="46"/>
    </row>
    <row r="779" spans="1:7" ht="15" thickBot="1">
      <c r="A779" s="46"/>
      <c r="B779" s="46"/>
      <c r="C779" s="46"/>
      <c r="D779" s="46"/>
      <c r="E779" s="46"/>
      <c r="F779" s="46"/>
      <c r="G779" s="46"/>
    </row>
    <row r="780" spans="1:7" ht="15" thickBot="1">
      <c r="A780" s="46"/>
      <c r="B780" s="46"/>
      <c r="C780" s="46"/>
      <c r="D780" s="46"/>
      <c r="E780" s="46"/>
      <c r="F780" s="46"/>
      <c r="G780" s="46"/>
    </row>
    <row r="781" spans="1:7" ht="15" thickBot="1">
      <c r="A781" s="46"/>
      <c r="B781" s="46"/>
      <c r="C781" s="46"/>
      <c r="D781" s="46"/>
      <c r="E781" s="46"/>
      <c r="F781" s="46"/>
      <c r="G781" s="46"/>
    </row>
    <row r="782" spans="1:7" ht="15" thickBot="1">
      <c r="A782" s="46"/>
      <c r="B782" s="46"/>
      <c r="C782" s="46"/>
      <c r="D782" s="46"/>
      <c r="E782" s="46"/>
      <c r="F782" s="46"/>
      <c r="G782" s="46"/>
    </row>
    <row r="783" spans="1:7" ht="15" thickBot="1">
      <c r="A783" s="46"/>
      <c r="B783" s="46"/>
      <c r="C783" s="46"/>
      <c r="D783" s="46"/>
      <c r="E783" s="46"/>
      <c r="F783" s="46"/>
      <c r="G783" s="46"/>
    </row>
    <row r="784" spans="1:7" ht="15" thickBot="1">
      <c r="A784" s="46"/>
      <c r="B784" s="46"/>
      <c r="C784" s="46"/>
      <c r="D784" s="46"/>
      <c r="E784" s="46"/>
      <c r="F784" s="46"/>
      <c r="G784" s="46"/>
    </row>
    <row r="785" spans="1:7" ht="15" thickBot="1">
      <c r="A785" s="46"/>
      <c r="B785" s="46"/>
      <c r="C785" s="46"/>
      <c r="D785" s="46"/>
      <c r="E785" s="46"/>
      <c r="F785" s="46"/>
      <c r="G785" s="46"/>
    </row>
    <row r="786" spans="1:7" ht="15" thickBot="1">
      <c r="A786" s="46"/>
      <c r="B786" s="46"/>
      <c r="C786" s="46"/>
      <c r="D786" s="46"/>
      <c r="E786" s="46"/>
      <c r="F786" s="46"/>
      <c r="G786" s="46"/>
    </row>
    <row r="787" spans="1:7" ht="15" thickBot="1">
      <c r="A787" s="46"/>
      <c r="B787" s="46"/>
      <c r="C787" s="46"/>
      <c r="D787" s="46"/>
      <c r="E787" s="46"/>
      <c r="F787" s="46"/>
      <c r="G787" s="46"/>
    </row>
    <row r="788" spans="1:7" ht="15" thickBot="1">
      <c r="A788" s="46"/>
      <c r="B788" s="46"/>
      <c r="C788" s="46"/>
      <c r="D788" s="46"/>
      <c r="E788" s="46"/>
      <c r="F788" s="46"/>
      <c r="G788" s="46"/>
    </row>
    <row r="789" spans="1:7" ht="15" thickBot="1">
      <c r="A789" s="46"/>
      <c r="B789" s="46"/>
      <c r="C789" s="46"/>
      <c r="D789" s="46"/>
      <c r="E789" s="46"/>
      <c r="F789" s="46"/>
      <c r="G789" s="46"/>
    </row>
    <row r="790" spans="1:7" ht="15" thickBot="1">
      <c r="A790" s="46"/>
      <c r="B790" s="46"/>
      <c r="C790" s="46"/>
      <c r="D790" s="46"/>
      <c r="E790" s="46"/>
      <c r="F790" s="46"/>
      <c r="G790" s="46"/>
    </row>
    <row r="791" spans="1:7" ht="15" thickBot="1">
      <c r="A791" s="46"/>
      <c r="B791" s="46"/>
      <c r="C791" s="46"/>
      <c r="D791" s="46"/>
      <c r="E791" s="46"/>
      <c r="F791" s="46"/>
      <c r="G791" s="46"/>
    </row>
    <row r="792" spans="1:7" ht="15" thickBot="1">
      <c r="A792" s="46"/>
      <c r="B792" s="46"/>
      <c r="C792" s="46"/>
      <c r="D792" s="46"/>
      <c r="E792" s="46"/>
      <c r="F792" s="46"/>
      <c r="G792" s="46"/>
    </row>
    <row r="793" spans="1:7" ht="15" thickBot="1">
      <c r="A793" s="46"/>
      <c r="B793" s="46"/>
      <c r="C793" s="46"/>
      <c r="D793" s="46"/>
      <c r="E793" s="46"/>
      <c r="F793" s="46"/>
      <c r="G793" s="46"/>
    </row>
    <row r="794" spans="1:7" ht="15" thickBot="1">
      <c r="A794" s="46"/>
      <c r="B794" s="46"/>
      <c r="C794" s="46"/>
      <c r="D794" s="46"/>
      <c r="E794" s="46"/>
      <c r="F794" s="46"/>
      <c r="G794" s="46"/>
    </row>
    <row r="795" spans="1:7" ht="15" thickBot="1">
      <c r="A795" s="46"/>
      <c r="B795" s="46"/>
      <c r="C795" s="46"/>
      <c r="D795" s="46"/>
      <c r="E795" s="46"/>
      <c r="F795" s="46"/>
      <c r="G795" s="46"/>
    </row>
    <row r="796" spans="1:7" ht="15" thickBot="1">
      <c r="A796" s="46"/>
      <c r="B796" s="46"/>
      <c r="C796" s="46"/>
      <c r="D796" s="46"/>
      <c r="E796" s="46"/>
      <c r="F796" s="46"/>
      <c r="G796" s="46"/>
    </row>
    <row r="797" spans="1:7" ht="15" thickBot="1">
      <c r="A797" s="46"/>
      <c r="B797" s="46"/>
      <c r="C797" s="46"/>
      <c r="D797" s="46"/>
      <c r="E797" s="46"/>
      <c r="F797" s="46"/>
      <c r="G797" s="46"/>
    </row>
    <row r="798" spans="1:7" ht="15" thickBot="1">
      <c r="A798" s="46"/>
      <c r="B798" s="46"/>
      <c r="C798" s="46"/>
      <c r="D798" s="46"/>
      <c r="E798" s="46"/>
      <c r="F798" s="46"/>
      <c r="G798" s="46"/>
    </row>
    <row r="799" spans="1:7" ht="15" thickBot="1">
      <c r="A799" s="46"/>
      <c r="B799" s="46"/>
      <c r="C799" s="46"/>
      <c r="D799" s="46"/>
      <c r="E799" s="46"/>
      <c r="F799" s="46"/>
      <c r="G799" s="46"/>
    </row>
    <row r="800" spans="1:7" ht="15" thickBot="1">
      <c r="A800" s="46"/>
      <c r="B800" s="46"/>
      <c r="C800" s="46"/>
      <c r="D800" s="46"/>
      <c r="E800" s="46"/>
      <c r="F800" s="46"/>
      <c r="G800" s="46"/>
    </row>
    <row r="801" spans="1:7" ht="15" thickBot="1">
      <c r="A801" s="46"/>
      <c r="B801" s="46"/>
      <c r="C801" s="46"/>
      <c r="D801" s="46"/>
      <c r="E801" s="46"/>
      <c r="F801" s="46"/>
      <c r="G801" s="46"/>
    </row>
    <row r="802" spans="1:7" ht="15" thickBot="1">
      <c r="A802" s="46"/>
      <c r="B802" s="46"/>
      <c r="C802" s="46"/>
      <c r="D802" s="46"/>
      <c r="E802" s="46"/>
      <c r="F802" s="46"/>
      <c r="G802" s="46"/>
    </row>
    <row r="803" spans="1:7" ht="15" thickBot="1">
      <c r="A803" s="46"/>
      <c r="B803" s="46"/>
      <c r="C803" s="46"/>
      <c r="D803" s="46"/>
      <c r="E803" s="46"/>
      <c r="F803" s="46"/>
      <c r="G803" s="46"/>
    </row>
    <row r="804" spans="1:7" ht="15" thickBot="1">
      <c r="A804" s="46"/>
      <c r="B804" s="46"/>
      <c r="C804" s="46"/>
      <c r="D804" s="46"/>
      <c r="E804" s="46"/>
      <c r="F804" s="46"/>
      <c r="G804" s="46"/>
    </row>
    <row r="805" spans="1:7" ht="15" thickBot="1">
      <c r="A805" s="46"/>
      <c r="B805" s="46"/>
      <c r="C805" s="46"/>
      <c r="D805" s="46"/>
      <c r="E805" s="46"/>
      <c r="F805" s="46"/>
      <c r="G805" s="46"/>
    </row>
    <row r="806" spans="1:7" ht="15" thickBot="1">
      <c r="A806" s="46"/>
      <c r="B806" s="46"/>
      <c r="C806" s="46"/>
      <c r="D806" s="46"/>
      <c r="E806" s="46"/>
      <c r="F806" s="46"/>
      <c r="G806" s="46"/>
    </row>
    <row r="807" spans="1:7" ht="15" thickBot="1">
      <c r="A807" s="46"/>
      <c r="B807" s="46"/>
      <c r="C807" s="46"/>
      <c r="D807" s="46"/>
      <c r="E807" s="46"/>
      <c r="F807" s="46"/>
      <c r="G807" s="46"/>
    </row>
    <row r="808" spans="1:7" ht="15" thickBot="1">
      <c r="A808" s="46"/>
      <c r="B808" s="46"/>
      <c r="C808" s="46"/>
      <c r="D808" s="46"/>
      <c r="E808" s="46"/>
      <c r="F808" s="46"/>
      <c r="G808" s="46"/>
    </row>
    <row r="809" spans="1:7" ht="15" thickBot="1">
      <c r="A809" s="46"/>
      <c r="B809" s="46"/>
      <c r="C809" s="46"/>
      <c r="D809" s="46"/>
      <c r="E809" s="46"/>
      <c r="F809" s="46"/>
      <c r="G809" s="46"/>
    </row>
    <row r="810" spans="1:7" ht="15" thickBot="1">
      <c r="A810" s="46"/>
      <c r="B810" s="46"/>
      <c r="C810" s="46"/>
      <c r="D810" s="46"/>
      <c r="E810" s="46"/>
      <c r="F810" s="46"/>
      <c r="G810" s="46"/>
    </row>
    <row r="811" spans="1:7" ht="15" thickBot="1">
      <c r="A811" s="46"/>
      <c r="B811" s="46"/>
      <c r="C811" s="46"/>
      <c r="D811" s="46"/>
      <c r="E811" s="46"/>
      <c r="F811" s="46"/>
      <c r="G811" s="46"/>
    </row>
    <row r="812" spans="1:7" ht="15" thickBot="1">
      <c r="A812" s="46"/>
      <c r="B812" s="46"/>
      <c r="C812" s="46"/>
      <c r="D812" s="46"/>
      <c r="E812" s="46"/>
      <c r="F812" s="46"/>
      <c r="G812" s="46"/>
    </row>
    <row r="813" spans="1:7" ht="15" thickBot="1">
      <c r="A813" s="46"/>
      <c r="B813" s="46"/>
      <c r="C813" s="46"/>
      <c r="D813" s="46"/>
      <c r="E813" s="46"/>
      <c r="F813" s="46"/>
      <c r="G813" s="46"/>
    </row>
    <row r="814" spans="1:7" ht="15" thickBot="1">
      <c r="A814" s="46"/>
      <c r="B814" s="46"/>
      <c r="C814" s="46"/>
      <c r="D814" s="46"/>
      <c r="E814" s="46"/>
      <c r="F814" s="46"/>
      <c r="G814" s="46"/>
    </row>
    <row r="815" spans="1:7" ht="15" thickBot="1">
      <c r="A815" s="46"/>
      <c r="B815" s="46"/>
      <c r="C815" s="46"/>
      <c r="D815" s="46"/>
      <c r="E815" s="46"/>
      <c r="F815" s="46"/>
      <c r="G815" s="46"/>
    </row>
    <row r="816" spans="1:7" ht="15" thickBot="1">
      <c r="A816" s="46"/>
      <c r="B816" s="46"/>
      <c r="C816" s="46"/>
      <c r="D816" s="46"/>
      <c r="E816" s="46"/>
      <c r="F816" s="46"/>
      <c r="G816" s="46"/>
    </row>
    <row r="817" spans="1:7" ht="15" thickBot="1">
      <c r="A817" s="46"/>
      <c r="B817" s="46"/>
      <c r="C817" s="46"/>
      <c r="D817" s="46"/>
      <c r="E817" s="46"/>
      <c r="F817" s="46"/>
      <c r="G817" s="46"/>
    </row>
    <row r="818" spans="1:7" ht="15" thickBot="1">
      <c r="A818" s="46"/>
      <c r="B818" s="46"/>
      <c r="C818" s="46"/>
      <c r="D818" s="46"/>
      <c r="E818" s="46"/>
      <c r="F818" s="46"/>
      <c r="G818" s="46"/>
    </row>
    <row r="819" spans="1:7" ht="15" thickBot="1">
      <c r="A819" s="46"/>
      <c r="B819" s="46"/>
      <c r="C819" s="46"/>
      <c r="D819" s="46"/>
      <c r="E819" s="46"/>
      <c r="F819" s="46"/>
      <c r="G819" s="46"/>
    </row>
    <row r="820" spans="1:7" ht="15" thickBot="1">
      <c r="A820" s="46"/>
      <c r="B820" s="46"/>
      <c r="C820" s="46"/>
      <c r="D820" s="46"/>
      <c r="E820" s="46"/>
      <c r="F820" s="46"/>
      <c r="G820" s="46"/>
    </row>
    <row r="821" spans="1:7" ht="15" thickBot="1">
      <c r="A821" s="46"/>
      <c r="B821" s="46"/>
      <c r="C821" s="46"/>
      <c r="D821" s="46"/>
      <c r="E821" s="46"/>
      <c r="F821" s="46"/>
      <c r="G821" s="46"/>
    </row>
    <row r="822" spans="1:7" ht="15" thickBot="1">
      <c r="A822" s="46"/>
      <c r="B822" s="46"/>
      <c r="C822" s="46"/>
      <c r="D822" s="46"/>
      <c r="E822" s="46"/>
      <c r="F822" s="46"/>
      <c r="G822" s="46"/>
    </row>
    <row r="823" spans="1:7" ht="15" thickBot="1">
      <c r="A823" s="46"/>
      <c r="B823" s="46"/>
      <c r="C823" s="46"/>
      <c r="D823" s="46"/>
      <c r="E823" s="46"/>
      <c r="F823" s="46"/>
      <c r="G823" s="46"/>
    </row>
    <row r="824" spans="1:7" ht="15" thickBot="1">
      <c r="A824" s="46"/>
      <c r="B824" s="46"/>
      <c r="C824" s="46"/>
      <c r="D824" s="46"/>
      <c r="E824" s="46"/>
      <c r="F824" s="46"/>
      <c r="G824" s="46"/>
    </row>
    <row r="825" spans="1:7" ht="15" thickBot="1">
      <c r="A825" s="46"/>
      <c r="B825" s="46"/>
      <c r="C825" s="46"/>
      <c r="D825" s="46"/>
      <c r="E825" s="46"/>
      <c r="F825" s="46"/>
      <c r="G825" s="46"/>
    </row>
    <row r="826" spans="1:7" ht="15" thickBot="1">
      <c r="A826" s="46"/>
      <c r="B826" s="46"/>
      <c r="C826" s="46"/>
      <c r="D826" s="46"/>
      <c r="E826" s="46"/>
      <c r="F826" s="46"/>
      <c r="G826" s="46"/>
    </row>
    <row r="827" spans="1:7" ht="15" thickBot="1">
      <c r="A827" s="46"/>
      <c r="B827" s="46"/>
      <c r="C827" s="46"/>
      <c r="D827" s="46"/>
      <c r="E827" s="46"/>
      <c r="F827" s="46"/>
      <c r="G827" s="46"/>
    </row>
    <row r="828" spans="1:7" ht="15" thickBot="1">
      <c r="A828" s="46"/>
      <c r="B828" s="46"/>
      <c r="C828" s="46"/>
      <c r="D828" s="46"/>
      <c r="E828" s="46"/>
      <c r="F828" s="46"/>
      <c r="G828" s="46"/>
    </row>
    <row r="829" spans="1:7" ht="15" thickBot="1">
      <c r="A829" s="46"/>
      <c r="B829" s="46"/>
      <c r="C829" s="46"/>
      <c r="D829" s="46"/>
      <c r="E829" s="46"/>
      <c r="F829" s="46"/>
      <c r="G829" s="46"/>
    </row>
    <row r="830" spans="1:7" ht="15" thickBot="1">
      <c r="A830" s="46"/>
      <c r="B830" s="46"/>
      <c r="C830" s="46"/>
      <c r="D830" s="46"/>
      <c r="E830" s="46"/>
      <c r="F830" s="46"/>
      <c r="G830" s="46"/>
    </row>
    <row r="831" spans="1:7" ht="15" thickBot="1">
      <c r="A831" s="46"/>
      <c r="B831" s="46"/>
      <c r="C831" s="46"/>
      <c r="D831" s="46"/>
      <c r="E831" s="46"/>
      <c r="F831" s="46"/>
      <c r="G831" s="46"/>
    </row>
    <row r="832" spans="1:7" ht="15" thickBot="1">
      <c r="A832" s="46"/>
      <c r="B832" s="46"/>
      <c r="C832" s="46"/>
      <c r="D832" s="46"/>
      <c r="E832" s="46"/>
      <c r="F832" s="46"/>
      <c r="G832" s="46"/>
    </row>
    <row r="833" spans="1:7" ht="15" thickBot="1">
      <c r="A833" s="46"/>
      <c r="B833" s="46"/>
      <c r="C833" s="46"/>
      <c r="D833" s="46"/>
      <c r="E833" s="46"/>
      <c r="F833" s="46"/>
      <c r="G833" s="46"/>
    </row>
    <row r="834" spans="1:7" ht="15" thickBot="1">
      <c r="A834" s="46"/>
      <c r="B834" s="46"/>
      <c r="C834" s="46"/>
      <c r="D834" s="46"/>
      <c r="E834" s="46"/>
      <c r="F834" s="46"/>
      <c r="G834" s="46"/>
    </row>
    <row r="835" spans="1:7" ht="15" thickBot="1">
      <c r="A835" s="46"/>
      <c r="B835" s="46"/>
      <c r="C835" s="46"/>
      <c r="D835" s="46"/>
      <c r="E835" s="46"/>
      <c r="F835" s="46"/>
      <c r="G835" s="46"/>
    </row>
    <row r="836" spans="1:7" ht="15" thickBot="1">
      <c r="A836" s="46"/>
      <c r="B836" s="46"/>
      <c r="C836" s="46"/>
      <c r="D836" s="46"/>
      <c r="E836" s="46"/>
      <c r="F836" s="46"/>
      <c r="G836" s="46"/>
    </row>
    <row r="837" spans="1:7" ht="15" thickBot="1">
      <c r="A837" s="46"/>
      <c r="B837" s="46"/>
      <c r="C837" s="46"/>
      <c r="D837" s="46"/>
      <c r="E837" s="46"/>
      <c r="F837" s="46"/>
      <c r="G837" s="46"/>
    </row>
    <row r="838" spans="1:7" ht="15" thickBot="1">
      <c r="A838" s="46"/>
      <c r="B838" s="46"/>
      <c r="C838" s="46"/>
      <c r="D838" s="46"/>
      <c r="E838" s="46"/>
      <c r="F838" s="46"/>
      <c r="G838" s="46"/>
    </row>
    <row r="839" spans="1:7" ht="15" thickBot="1">
      <c r="A839" s="46"/>
      <c r="B839" s="46"/>
      <c r="C839" s="46"/>
      <c r="D839" s="46"/>
      <c r="E839" s="46"/>
      <c r="F839" s="46"/>
      <c r="G839" s="46"/>
    </row>
    <row r="840" spans="1:7" ht="15" thickBot="1">
      <c r="A840" s="46"/>
      <c r="B840" s="46"/>
      <c r="C840" s="46"/>
      <c r="D840" s="46"/>
      <c r="E840" s="46"/>
      <c r="F840" s="46"/>
      <c r="G840" s="46"/>
    </row>
    <row r="841" spans="1:7" ht="15" thickBot="1">
      <c r="A841" s="46"/>
      <c r="B841" s="46"/>
      <c r="C841" s="46"/>
      <c r="D841" s="46"/>
      <c r="E841" s="46"/>
      <c r="F841" s="46"/>
      <c r="G841" s="46"/>
    </row>
    <row r="842" spans="1:7" ht="15" thickBot="1">
      <c r="A842" s="46"/>
      <c r="B842" s="46"/>
      <c r="C842" s="46"/>
      <c r="D842" s="46"/>
      <c r="E842" s="46"/>
      <c r="F842" s="46"/>
      <c r="G842" s="46"/>
    </row>
    <row r="843" spans="1:7" ht="15" thickBot="1">
      <c r="A843" s="46"/>
      <c r="B843" s="46"/>
      <c r="C843" s="46"/>
      <c r="D843" s="46"/>
      <c r="E843" s="46"/>
      <c r="F843" s="46"/>
      <c r="G843" s="46"/>
    </row>
    <row r="844" spans="1:7" ht="15" thickBot="1">
      <c r="A844" s="46"/>
      <c r="B844" s="46"/>
      <c r="C844" s="46"/>
      <c r="D844" s="46"/>
      <c r="E844" s="46"/>
      <c r="F844" s="46"/>
      <c r="G844" s="46"/>
    </row>
    <row r="845" spans="1:7" ht="15" thickBot="1">
      <c r="A845" s="46"/>
      <c r="B845" s="46"/>
      <c r="C845" s="46"/>
      <c r="D845" s="46"/>
      <c r="E845" s="46"/>
      <c r="F845" s="46"/>
      <c r="G845" s="46"/>
    </row>
    <row r="846" spans="1:7" ht="15" thickBot="1">
      <c r="A846" s="46"/>
      <c r="B846" s="46"/>
      <c r="C846" s="46"/>
      <c r="D846" s="46"/>
      <c r="E846" s="46"/>
      <c r="F846" s="46"/>
      <c r="G846" s="46"/>
    </row>
    <row r="847" spans="1:7" ht="15" thickBot="1">
      <c r="A847" s="46"/>
      <c r="B847" s="46"/>
      <c r="C847" s="46"/>
      <c r="D847" s="46"/>
      <c r="E847" s="46"/>
      <c r="F847" s="46"/>
      <c r="G847" s="46"/>
    </row>
    <row r="848" spans="1:7" ht="15" thickBot="1">
      <c r="A848" s="46"/>
      <c r="B848" s="46"/>
      <c r="C848" s="46"/>
      <c r="D848" s="46"/>
      <c r="E848" s="46"/>
      <c r="F848" s="46"/>
      <c r="G848" s="46"/>
    </row>
    <row r="849" spans="1:7" ht="15" thickBot="1">
      <c r="A849" s="46"/>
      <c r="B849" s="46"/>
      <c r="C849" s="46"/>
      <c r="D849" s="46"/>
      <c r="E849" s="46"/>
      <c r="F849" s="46"/>
      <c r="G849" s="46"/>
    </row>
    <row r="850" spans="1:7" ht="15" thickBot="1">
      <c r="A850" s="46"/>
      <c r="B850" s="46"/>
      <c r="C850" s="46"/>
      <c r="D850" s="46"/>
      <c r="E850" s="46"/>
      <c r="F850" s="46"/>
      <c r="G850" s="46"/>
    </row>
    <row r="851" spans="1:7" ht="15" thickBot="1">
      <c r="A851" s="46"/>
      <c r="B851" s="46"/>
      <c r="C851" s="46"/>
      <c r="D851" s="46"/>
      <c r="E851" s="46"/>
      <c r="F851" s="46"/>
      <c r="G851" s="46"/>
    </row>
    <row r="852" spans="1:7" ht="15" thickBot="1">
      <c r="A852" s="46"/>
      <c r="B852" s="46"/>
      <c r="C852" s="46"/>
      <c r="D852" s="46"/>
      <c r="E852" s="46"/>
      <c r="F852" s="46"/>
      <c r="G852" s="46"/>
    </row>
    <row r="853" spans="1:7" ht="15" thickBot="1">
      <c r="A853" s="46"/>
      <c r="B853" s="46"/>
      <c r="C853" s="46"/>
      <c r="D853" s="46"/>
      <c r="E853" s="46"/>
      <c r="F853" s="46"/>
      <c r="G853" s="46"/>
    </row>
    <row r="854" spans="1:7" ht="15" thickBot="1">
      <c r="A854" s="46"/>
      <c r="B854" s="46"/>
      <c r="C854" s="46"/>
      <c r="D854" s="46"/>
      <c r="E854" s="46"/>
      <c r="F854" s="46"/>
      <c r="G854" s="46"/>
    </row>
    <row r="855" spans="1:7" ht="15" thickBot="1">
      <c r="A855" s="46"/>
      <c r="B855" s="46"/>
      <c r="C855" s="46"/>
      <c r="D855" s="46"/>
      <c r="E855" s="46"/>
      <c r="F855" s="46"/>
      <c r="G855" s="46"/>
    </row>
    <row r="856" spans="1:7" ht="15" thickBot="1">
      <c r="A856" s="46"/>
      <c r="B856" s="46"/>
      <c r="C856" s="46"/>
      <c r="D856" s="46"/>
      <c r="E856" s="46"/>
      <c r="F856" s="46"/>
      <c r="G856" s="46"/>
    </row>
    <row r="857" spans="1:7" ht="15" thickBot="1">
      <c r="A857" s="46"/>
      <c r="B857" s="46"/>
      <c r="C857" s="46"/>
      <c r="D857" s="46"/>
      <c r="E857" s="46"/>
      <c r="F857" s="46"/>
      <c r="G857" s="46"/>
    </row>
    <row r="858" spans="1:7" ht="15" thickBot="1">
      <c r="A858" s="46"/>
      <c r="B858" s="46"/>
      <c r="C858" s="46"/>
      <c r="D858" s="46"/>
      <c r="E858" s="46"/>
      <c r="F858" s="46"/>
      <c r="G858" s="46"/>
    </row>
    <row r="859" spans="1:7" ht="15" thickBot="1">
      <c r="A859" s="46"/>
      <c r="B859" s="46"/>
      <c r="C859" s="46"/>
      <c r="D859" s="46"/>
      <c r="E859" s="46"/>
      <c r="F859" s="46"/>
      <c r="G859" s="46"/>
    </row>
    <row r="860" spans="1:7" ht="15" thickBot="1">
      <c r="A860" s="46"/>
      <c r="B860" s="46"/>
      <c r="C860" s="46"/>
      <c r="D860" s="46"/>
      <c r="E860" s="46"/>
      <c r="F860" s="46"/>
      <c r="G860" s="46"/>
    </row>
    <row r="861" spans="1:7" ht="15" thickBot="1">
      <c r="A861" s="46"/>
      <c r="B861" s="46"/>
      <c r="C861" s="46"/>
      <c r="D861" s="46"/>
      <c r="E861" s="46"/>
      <c r="F861" s="46"/>
      <c r="G861" s="46"/>
    </row>
    <row r="862" spans="1:7" ht="15" thickBot="1">
      <c r="A862" s="46"/>
      <c r="B862" s="46"/>
      <c r="C862" s="46"/>
      <c r="D862" s="46"/>
      <c r="E862" s="46"/>
      <c r="F862" s="46"/>
      <c r="G862" s="46"/>
    </row>
    <row r="863" spans="1:7" ht="15" thickBot="1">
      <c r="A863" s="46"/>
      <c r="B863" s="46"/>
      <c r="C863" s="46"/>
      <c r="D863" s="46"/>
      <c r="E863" s="46"/>
      <c r="F863" s="46"/>
      <c r="G863" s="46"/>
    </row>
    <row r="864" spans="1:7" ht="15" thickBot="1">
      <c r="A864" s="46"/>
      <c r="B864" s="46"/>
      <c r="C864" s="46"/>
      <c r="D864" s="46"/>
      <c r="E864" s="46"/>
      <c r="F864" s="46"/>
      <c r="G864" s="46"/>
    </row>
    <row r="865" spans="1:7" ht="15" thickBot="1">
      <c r="A865" s="46"/>
      <c r="B865" s="46"/>
      <c r="C865" s="46"/>
      <c r="D865" s="46"/>
      <c r="E865" s="46"/>
      <c r="F865" s="46"/>
      <c r="G865" s="46"/>
    </row>
    <row r="866" spans="1:7" ht="15" thickBot="1">
      <c r="A866" s="46"/>
      <c r="B866" s="46"/>
      <c r="C866" s="46"/>
      <c r="D866" s="46"/>
      <c r="E866" s="46"/>
      <c r="F866" s="46"/>
      <c r="G866" s="46"/>
    </row>
    <row r="867" spans="1:7" ht="15" thickBot="1">
      <c r="A867" s="46"/>
      <c r="B867" s="46"/>
      <c r="C867" s="46"/>
      <c r="D867" s="46"/>
      <c r="E867" s="46"/>
      <c r="F867" s="46"/>
      <c r="G867" s="46"/>
    </row>
    <row r="868" spans="1:7" ht="15" thickBot="1">
      <c r="A868" s="46"/>
      <c r="B868" s="46"/>
      <c r="C868" s="46"/>
      <c r="D868" s="46"/>
      <c r="E868" s="46"/>
      <c r="F868" s="46"/>
      <c r="G868" s="46"/>
    </row>
    <row r="869" spans="1:7" ht="15" thickBot="1">
      <c r="A869" s="46"/>
      <c r="B869" s="46"/>
      <c r="C869" s="46"/>
      <c r="D869" s="46"/>
      <c r="E869" s="46"/>
      <c r="F869" s="46"/>
      <c r="G869" s="46"/>
    </row>
    <row r="870" spans="1:7" ht="15" thickBot="1">
      <c r="A870" s="46"/>
      <c r="B870" s="46"/>
      <c r="C870" s="46"/>
      <c r="D870" s="46"/>
      <c r="E870" s="46"/>
      <c r="F870" s="46"/>
      <c r="G870" s="46"/>
    </row>
    <row r="871" spans="1:7" ht="15" thickBot="1">
      <c r="A871" s="46"/>
      <c r="B871" s="46"/>
      <c r="C871" s="46"/>
      <c r="D871" s="46"/>
      <c r="E871" s="46"/>
      <c r="F871" s="46"/>
      <c r="G871" s="46"/>
    </row>
    <row r="872" spans="1:7" ht="15" thickBot="1">
      <c r="A872" s="46"/>
      <c r="B872" s="46"/>
      <c r="C872" s="46"/>
      <c r="D872" s="46"/>
      <c r="E872" s="46"/>
      <c r="F872" s="46"/>
      <c r="G872" s="46"/>
    </row>
    <row r="873" spans="1:7" ht="15" thickBot="1">
      <c r="A873" s="46"/>
      <c r="B873" s="46"/>
      <c r="C873" s="46"/>
      <c r="D873" s="46"/>
      <c r="E873" s="46"/>
      <c r="F873" s="46"/>
      <c r="G873" s="46"/>
    </row>
    <row r="874" spans="1:7" ht="15" thickBot="1">
      <c r="A874" s="46"/>
      <c r="B874" s="46"/>
      <c r="C874" s="46"/>
      <c r="D874" s="46"/>
      <c r="E874" s="46"/>
      <c r="F874" s="46"/>
      <c r="G874" s="46"/>
    </row>
    <row r="875" spans="1:7" ht="15" thickBot="1">
      <c r="A875" s="46"/>
      <c r="B875" s="46"/>
      <c r="C875" s="46"/>
      <c r="D875" s="46"/>
      <c r="E875" s="46"/>
      <c r="F875" s="46"/>
      <c r="G875" s="46"/>
    </row>
    <row r="876" spans="1:7" ht="15" thickBot="1">
      <c r="A876" s="46"/>
      <c r="B876" s="46"/>
      <c r="C876" s="46"/>
      <c r="D876" s="46"/>
      <c r="E876" s="46"/>
      <c r="F876" s="46"/>
      <c r="G876" s="46"/>
    </row>
    <row r="877" spans="1:7" ht="15" thickBot="1">
      <c r="A877" s="46"/>
      <c r="B877" s="46"/>
      <c r="C877" s="46"/>
      <c r="D877" s="46"/>
      <c r="E877" s="46"/>
      <c r="F877" s="46"/>
      <c r="G877" s="46"/>
    </row>
    <row r="878" spans="1:7" ht="15" thickBot="1">
      <c r="A878" s="46"/>
      <c r="B878" s="46"/>
      <c r="C878" s="46"/>
      <c r="D878" s="46"/>
      <c r="E878" s="46"/>
      <c r="F878" s="46"/>
      <c r="G878" s="46"/>
    </row>
    <row r="879" spans="1:7" ht="15" thickBot="1">
      <c r="A879" s="46"/>
      <c r="B879" s="46"/>
      <c r="C879" s="46"/>
      <c r="D879" s="46"/>
      <c r="E879" s="46"/>
      <c r="F879" s="46"/>
      <c r="G879" s="46"/>
    </row>
    <row r="880" spans="1:7" ht="15" thickBot="1">
      <c r="A880" s="46"/>
      <c r="B880" s="46"/>
      <c r="C880" s="46"/>
      <c r="D880" s="46"/>
      <c r="E880" s="46"/>
      <c r="F880" s="46"/>
      <c r="G880" s="46"/>
    </row>
    <row r="881" spans="1:7" ht="15" thickBot="1">
      <c r="A881" s="46"/>
      <c r="B881" s="46"/>
      <c r="C881" s="46"/>
      <c r="D881" s="46"/>
      <c r="E881" s="46"/>
      <c r="F881" s="46"/>
      <c r="G881" s="46"/>
    </row>
    <row r="882" spans="1:7" ht="15" thickBot="1">
      <c r="A882" s="46"/>
      <c r="B882" s="46"/>
      <c r="C882" s="46"/>
      <c r="D882" s="46"/>
      <c r="E882" s="46"/>
      <c r="F882" s="46"/>
      <c r="G882" s="46"/>
    </row>
    <row r="883" spans="1:7" ht="15" thickBot="1">
      <c r="A883" s="46"/>
      <c r="B883" s="46"/>
      <c r="C883" s="46"/>
      <c r="D883" s="46"/>
      <c r="E883" s="46"/>
      <c r="F883" s="46"/>
      <c r="G883" s="46"/>
    </row>
    <row r="884" spans="1:7" ht="15" thickBot="1">
      <c r="A884" s="46"/>
      <c r="B884" s="46"/>
      <c r="C884" s="46"/>
      <c r="D884" s="46"/>
      <c r="E884" s="46"/>
      <c r="F884" s="46"/>
      <c r="G884" s="46"/>
    </row>
    <row r="885" spans="1:7" ht="15" thickBot="1">
      <c r="A885" s="46"/>
      <c r="B885" s="46"/>
      <c r="C885" s="46"/>
      <c r="D885" s="46"/>
      <c r="E885" s="46"/>
      <c r="F885" s="46"/>
      <c r="G885" s="46"/>
    </row>
    <row r="886" spans="1:7" ht="15" thickBot="1">
      <c r="A886" s="46"/>
      <c r="B886" s="46"/>
      <c r="C886" s="46"/>
      <c r="D886" s="46"/>
      <c r="E886" s="46"/>
      <c r="F886" s="46"/>
      <c r="G886" s="46"/>
    </row>
    <row r="887" spans="1:7" ht="15" thickBot="1">
      <c r="A887" s="46"/>
      <c r="B887" s="46"/>
      <c r="C887" s="46"/>
      <c r="D887" s="46"/>
      <c r="E887" s="46"/>
      <c r="F887" s="46"/>
      <c r="G887" s="46"/>
    </row>
    <row r="888" spans="1:7" ht="15" thickBot="1">
      <c r="A888" s="46"/>
      <c r="B888" s="46"/>
      <c r="C888" s="46"/>
      <c r="D888" s="46"/>
      <c r="E888" s="46"/>
      <c r="F888" s="46"/>
      <c r="G888" s="46"/>
    </row>
    <row r="889" spans="1:7" ht="15" thickBot="1">
      <c r="A889" s="46"/>
      <c r="B889" s="46"/>
      <c r="C889" s="46"/>
      <c r="D889" s="46"/>
      <c r="E889" s="46"/>
      <c r="F889" s="46"/>
      <c r="G889" s="46"/>
    </row>
    <row r="890" spans="1:7" ht="15" thickBot="1">
      <c r="A890" s="46"/>
      <c r="B890" s="46"/>
      <c r="C890" s="46"/>
      <c r="D890" s="46"/>
      <c r="E890" s="46"/>
      <c r="F890" s="46"/>
      <c r="G890" s="46"/>
    </row>
    <row r="891" spans="1:7" ht="15" thickBot="1">
      <c r="A891" s="46"/>
      <c r="B891" s="46"/>
      <c r="C891" s="46"/>
      <c r="D891" s="46"/>
      <c r="E891" s="46"/>
      <c r="F891" s="46"/>
      <c r="G891" s="46"/>
    </row>
    <row r="892" spans="1:7" ht="15" thickBot="1">
      <c r="A892" s="46"/>
      <c r="B892" s="46"/>
      <c r="C892" s="46"/>
      <c r="D892" s="46"/>
      <c r="E892" s="46"/>
      <c r="F892" s="46"/>
      <c r="G892" s="46"/>
    </row>
    <row r="893" spans="1:7" ht="15" thickBot="1">
      <c r="A893" s="46"/>
      <c r="B893" s="46"/>
      <c r="C893" s="46"/>
      <c r="D893" s="46"/>
      <c r="E893" s="46"/>
      <c r="F893" s="46"/>
      <c r="G893" s="46"/>
    </row>
    <row r="894" spans="1:7" ht="15" thickBot="1">
      <c r="A894" s="46"/>
      <c r="B894" s="46"/>
      <c r="C894" s="46"/>
      <c r="D894" s="46"/>
      <c r="E894" s="46"/>
      <c r="F894" s="46"/>
      <c r="G894" s="46"/>
    </row>
    <row r="895" spans="1:7" ht="15" thickBot="1">
      <c r="A895" s="46"/>
      <c r="B895" s="46"/>
      <c r="C895" s="46"/>
      <c r="D895" s="46"/>
      <c r="E895" s="46"/>
      <c r="F895" s="46"/>
      <c r="G895" s="46"/>
    </row>
    <row r="896" spans="1:7" ht="15" thickBot="1">
      <c r="A896" s="46"/>
      <c r="B896" s="46"/>
      <c r="C896" s="46"/>
      <c r="D896" s="46"/>
      <c r="E896" s="46"/>
      <c r="F896" s="46"/>
      <c r="G896" s="46"/>
    </row>
    <row r="897" spans="1:7" ht="15" thickBot="1">
      <c r="A897" s="46"/>
      <c r="B897" s="46"/>
      <c r="C897" s="46"/>
      <c r="D897" s="46"/>
      <c r="E897" s="46"/>
      <c r="F897" s="46"/>
      <c r="G897" s="46"/>
    </row>
    <row r="898" spans="1:7" ht="15" thickBot="1">
      <c r="A898" s="46"/>
      <c r="B898" s="46"/>
      <c r="C898" s="46"/>
      <c r="D898" s="46"/>
      <c r="E898" s="46"/>
      <c r="F898" s="46"/>
      <c r="G898" s="46"/>
    </row>
    <row r="899" spans="1:7" ht="15" thickBot="1">
      <c r="A899" s="46"/>
      <c r="B899" s="46"/>
      <c r="C899" s="46"/>
      <c r="D899" s="46"/>
      <c r="E899" s="46"/>
      <c r="F899" s="46"/>
      <c r="G899" s="46"/>
    </row>
    <row r="900" spans="1:7" ht="15" thickBot="1">
      <c r="A900" s="46"/>
      <c r="B900" s="46"/>
      <c r="C900" s="46"/>
      <c r="D900" s="46"/>
      <c r="E900" s="46"/>
      <c r="F900" s="46"/>
      <c r="G900" s="46"/>
    </row>
    <row r="901" spans="1:7" ht="15" thickBot="1">
      <c r="A901" s="46"/>
      <c r="B901" s="46"/>
      <c r="C901" s="46"/>
      <c r="D901" s="46"/>
      <c r="E901" s="46"/>
      <c r="F901" s="46"/>
      <c r="G901" s="46"/>
    </row>
    <row r="902" spans="1:7" ht="15" thickBot="1">
      <c r="A902" s="46"/>
      <c r="B902" s="46"/>
      <c r="C902" s="46"/>
      <c r="D902" s="46"/>
      <c r="E902" s="46"/>
      <c r="F902" s="46"/>
      <c r="G902" s="46"/>
    </row>
    <row r="903" spans="1:7" ht="15" thickBot="1">
      <c r="A903" s="46"/>
      <c r="B903" s="46"/>
      <c r="C903" s="46"/>
      <c r="D903" s="46"/>
      <c r="E903" s="46"/>
      <c r="F903" s="46"/>
      <c r="G903" s="46"/>
    </row>
    <row r="904" spans="1:7" ht="15" thickBot="1">
      <c r="A904" s="46"/>
      <c r="B904" s="46"/>
      <c r="C904" s="46"/>
      <c r="D904" s="46"/>
      <c r="E904" s="46"/>
      <c r="F904" s="46"/>
      <c r="G904" s="46"/>
    </row>
    <row r="905" spans="1:7" ht="15" thickBot="1">
      <c r="A905" s="46"/>
      <c r="B905" s="46"/>
      <c r="C905" s="46"/>
      <c r="D905" s="46"/>
      <c r="E905" s="46"/>
      <c r="F905" s="46"/>
      <c r="G905" s="46"/>
    </row>
    <row r="906" spans="1:7" ht="15" thickBot="1">
      <c r="A906" s="46"/>
      <c r="B906" s="46"/>
      <c r="C906" s="46"/>
      <c r="D906" s="46"/>
      <c r="E906" s="46"/>
      <c r="F906" s="46"/>
      <c r="G906" s="46"/>
    </row>
    <row r="907" spans="1:7" ht="15" thickBot="1">
      <c r="A907" s="46"/>
      <c r="B907" s="46"/>
      <c r="C907" s="46"/>
      <c r="D907" s="46"/>
      <c r="E907" s="46"/>
      <c r="F907" s="46"/>
      <c r="G907" s="46"/>
    </row>
    <row r="908" spans="1:7" ht="15" thickBot="1">
      <c r="A908" s="46"/>
      <c r="B908" s="46"/>
      <c r="C908" s="46"/>
      <c r="D908" s="46"/>
      <c r="E908" s="46"/>
      <c r="F908" s="46"/>
      <c r="G908" s="46"/>
    </row>
    <row r="909" spans="1:7" ht="15" thickBot="1">
      <c r="A909" s="46"/>
      <c r="B909" s="46"/>
      <c r="C909" s="46"/>
      <c r="D909" s="46"/>
      <c r="E909" s="46"/>
      <c r="F909" s="46"/>
      <c r="G909" s="46"/>
    </row>
    <row r="910" spans="1:7" ht="15" thickBot="1">
      <c r="A910" s="46"/>
      <c r="B910" s="46"/>
      <c r="C910" s="46"/>
      <c r="D910" s="46"/>
      <c r="E910" s="46"/>
      <c r="F910" s="46"/>
      <c r="G910" s="46"/>
    </row>
    <row r="911" spans="1:7" ht="15" thickBot="1">
      <c r="A911" s="46"/>
      <c r="B911" s="46"/>
      <c r="C911" s="46"/>
      <c r="D911" s="46"/>
      <c r="E911" s="46"/>
      <c r="F911" s="46"/>
      <c r="G911" s="46"/>
    </row>
    <row r="912" spans="1:7" ht="15" thickBot="1">
      <c r="A912" s="46"/>
      <c r="B912" s="46"/>
      <c r="C912" s="46"/>
      <c r="D912" s="46"/>
      <c r="E912" s="46"/>
      <c r="F912" s="46"/>
      <c r="G912" s="46"/>
    </row>
    <row r="913" spans="1:7" ht="15" thickBot="1">
      <c r="A913" s="46"/>
      <c r="B913" s="46"/>
      <c r="C913" s="46"/>
      <c r="D913" s="46"/>
      <c r="E913" s="46"/>
      <c r="F913" s="46"/>
      <c r="G913" s="46"/>
    </row>
    <row r="914" spans="1:7" ht="15" thickBot="1">
      <c r="A914" s="46"/>
      <c r="B914" s="46"/>
      <c r="C914" s="46"/>
      <c r="D914" s="46"/>
      <c r="E914" s="46"/>
      <c r="F914" s="46"/>
      <c r="G914" s="46"/>
    </row>
    <row r="915" spans="1:7" ht="15" thickBot="1">
      <c r="A915" s="46"/>
      <c r="B915" s="46"/>
      <c r="C915" s="46"/>
      <c r="D915" s="46"/>
      <c r="E915" s="46"/>
      <c r="F915" s="46"/>
      <c r="G915" s="46"/>
    </row>
    <row r="916" spans="1:7" ht="15" thickBot="1">
      <c r="A916" s="46"/>
      <c r="B916" s="46"/>
      <c r="C916" s="46"/>
      <c r="D916" s="46"/>
      <c r="E916" s="46"/>
      <c r="F916" s="46"/>
      <c r="G916" s="46"/>
    </row>
    <row r="917" spans="1:7" ht="15" thickBot="1">
      <c r="A917" s="46"/>
      <c r="B917" s="46"/>
      <c r="C917" s="46"/>
      <c r="D917" s="46"/>
      <c r="E917" s="46"/>
      <c r="F917" s="46"/>
      <c r="G917" s="46"/>
    </row>
    <row r="918" spans="1:7" ht="15" thickBot="1">
      <c r="A918" s="46"/>
      <c r="B918" s="46"/>
      <c r="C918" s="46"/>
      <c r="D918" s="46"/>
      <c r="E918" s="46"/>
      <c r="F918" s="46"/>
      <c r="G918" s="46"/>
    </row>
    <row r="919" spans="1:7" ht="15" thickBot="1">
      <c r="A919" s="46"/>
      <c r="B919" s="46"/>
      <c r="C919" s="46"/>
      <c r="D919" s="46"/>
      <c r="E919" s="46"/>
      <c r="F919" s="46"/>
      <c r="G919" s="46"/>
    </row>
    <row r="920" spans="1:7" ht="15" thickBot="1">
      <c r="A920" s="46"/>
      <c r="B920" s="46"/>
      <c r="C920" s="46"/>
      <c r="D920" s="46"/>
      <c r="E920" s="46"/>
      <c r="F920" s="46"/>
      <c r="G920" s="46"/>
    </row>
    <row r="921" spans="1:7" ht="15" thickBot="1">
      <c r="A921" s="46"/>
      <c r="B921" s="46"/>
      <c r="C921" s="46"/>
      <c r="D921" s="46"/>
      <c r="E921" s="46"/>
      <c r="F921" s="46"/>
      <c r="G921" s="46"/>
    </row>
    <row r="922" spans="1:7" ht="15" thickBot="1">
      <c r="A922" s="46"/>
      <c r="B922" s="46"/>
      <c r="C922" s="46"/>
      <c r="D922" s="46"/>
      <c r="E922" s="46"/>
      <c r="F922" s="46"/>
      <c r="G922" s="46"/>
    </row>
    <row r="923" spans="1:7" ht="15" thickBot="1">
      <c r="A923" s="46"/>
      <c r="B923" s="46"/>
      <c r="C923" s="46"/>
      <c r="D923" s="46"/>
      <c r="E923" s="46"/>
      <c r="F923" s="46"/>
      <c r="G923" s="46"/>
    </row>
    <row r="924" spans="1:7" ht="15" thickBot="1">
      <c r="A924" s="46"/>
      <c r="B924" s="46"/>
      <c r="C924" s="46"/>
      <c r="D924" s="46"/>
      <c r="E924" s="46"/>
      <c r="F924" s="46"/>
      <c r="G924" s="46"/>
    </row>
    <row r="925" spans="1:7" ht="15" thickBot="1">
      <c r="A925" s="46"/>
      <c r="B925" s="46"/>
      <c r="C925" s="46"/>
      <c r="D925" s="46"/>
      <c r="E925" s="46"/>
      <c r="F925" s="46"/>
      <c r="G925" s="46"/>
    </row>
    <row r="926" spans="1:7" ht="15" thickBot="1">
      <c r="A926" s="46"/>
      <c r="B926" s="46"/>
      <c r="C926" s="46"/>
      <c r="D926" s="46"/>
      <c r="E926" s="46"/>
      <c r="F926" s="46"/>
      <c r="G926" s="46"/>
    </row>
    <row r="927" spans="1:7" ht="15" thickBot="1">
      <c r="A927" s="46"/>
      <c r="B927" s="46"/>
      <c r="C927" s="46"/>
      <c r="D927" s="46"/>
      <c r="E927" s="46"/>
      <c r="F927" s="46"/>
      <c r="G927" s="46"/>
    </row>
    <row r="928" spans="1:7" ht="15" thickBot="1">
      <c r="A928" s="46"/>
      <c r="B928" s="46"/>
      <c r="C928" s="46"/>
      <c r="D928" s="46"/>
      <c r="E928" s="46"/>
      <c r="F928" s="46"/>
      <c r="G928" s="46"/>
    </row>
    <row r="929" spans="1:7" ht="15" thickBot="1">
      <c r="A929" s="46"/>
      <c r="B929" s="46"/>
      <c r="C929" s="46"/>
      <c r="D929" s="46"/>
      <c r="E929" s="46"/>
      <c r="F929" s="46"/>
      <c r="G929" s="46"/>
    </row>
    <row r="930" spans="1:7" ht="15" thickBot="1">
      <c r="A930" s="46"/>
      <c r="B930" s="46"/>
      <c r="C930" s="46"/>
      <c r="D930" s="46"/>
      <c r="E930" s="46"/>
      <c r="F930" s="46"/>
      <c r="G930" s="46"/>
    </row>
    <row r="931" spans="1:7" ht="15" thickBot="1">
      <c r="A931" s="46"/>
      <c r="B931" s="46"/>
      <c r="C931" s="46"/>
      <c r="D931" s="46"/>
      <c r="E931" s="46"/>
      <c r="F931" s="46"/>
      <c r="G931" s="46"/>
    </row>
    <row r="932" spans="1:7" ht="15" thickBot="1">
      <c r="A932" s="46"/>
      <c r="B932" s="46"/>
      <c r="C932" s="46"/>
      <c r="D932" s="46"/>
      <c r="E932" s="46"/>
      <c r="F932" s="46"/>
      <c r="G932" s="46"/>
    </row>
    <row r="933" spans="1:7" ht="15" thickBot="1">
      <c r="A933" s="46"/>
      <c r="B933" s="46"/>
      <c r="C933" s="46"/>
      <c r="D933" s="46"/>
      <c r="E933" s="46"/>
      <c r="F933" s="46"/>
      <c r="G933" s="46"/>
    </row>
    <row r="934" spans="1:7" ht="15" thickBot="1">
      <c r="A934" s="46"/>
      <c r="B934" s="46"/>
      <c r="C934" s="46"/>
      <c r="D934" s="46"/>
      <c r="E934" s="46"/>
      <c r="F934" s="46"/>
      <c r="G934" s="46"/>
    </row>
    <row r="935" spans="1:7" ht="15" thickBot="1">
      <c r="A935" s="46"/>
      <c r="B935" s="46"/>
      <c r="C935" s="46"/>
      <c r="D935" s="46"/>
      <c r="E935" s="46"/>
      <c r="F935" s="46"/>
      <c r="G935" s="46"/>
    </row>
    <row r="936" spans="1:7" ht="15" thickBot="1">
      <c r="A936" s="46"/>
      <c r="B936" s="46"/>
      <c r="C936" s="46"/>
      <c r="D936" s="46"/>
      <c r="E936" s="46"/>
      <c r="F936" s="46"/>
      <c r="G936" s="46"/>
    </row>
    <row r="937" spans="1:7" ht="15" thickBot="1">
      <c r="A937" s="46"/>
      <c r="B937" s="46"/>
      <c r="C937" s="46"/>
      <c r="D937" s="46"/>
      <c r="E937" s="46"/>
      <c r="F937" s="46"/>
      <c r="G937" s="46"/>
    </row>
    <row r="938" spans="1:7" ht="15" thickBot="1">
      <c r="A938" s="46"/>
      <c r="B938" s="46"/>
      <c r="C938" s="46"/>
      <c r="D938" s="46"/>
      <c r="E938" s="46"/>
      <c r="F938" s="46"/>
      <c r="G938" s="46"/>
    </row>
    <row r="939" spans="1:7" ht="15" thickBot="1">
      <c r="A939" s="46"/>
      <c r="B939" s="46"/>
      <c r="C939" s="46"/>
      <c r="D939" s="46"/>
      <c r="E939" s="46"/>
      <c r="F939" s="46"/>
      <c r="G939" s="46"/>
    </row>
    <row r="940" spans="1:7" ht="15" thickBot="1">
      <c r="A940" s="46"/>
      <c r="B940" s="46"/>
      <c r="C940" s="46"/>
      <c r="D940" s="46"/>
      <c r="E940" s="46"/>
      <c r="F940" s="46"/>
      <c r="G940" s="46"/>
    </row>
    <row r="941" spans="1:7" ht="15" thickBot="1">
      <c r="A941" s="46"/>
      <c r="B941" s="46"/>
      <c r="C941" s="46"/>
      <c r="D941" s="46"/>
      <c r="E941" s="46"/>
      <c r="F941" s="46"/>
      <c r="G941" s="46"/>
    </row>
    <row r="942" spans="1:7" ht="15" thickBot="1">
      <c r="A942" s="46"/>
      <c r="B942" s="46"/>
      <c r="C942" s="46"/>
      <c r="D942" s="46"/>
      <c r="E942" s="46"/>
      <c r="F942" s="46"/>
      <c r="G942" s="46"/>
    </row>
    <row r="943" spans="1:7" ht="15" thickBot="1">
      <c r="A943" s="46"/>
      <c r="B943" s="46"/>
      <c r="C943" s="46"/>
      <c r="D943" s="46"/>
      <c r="E943" s="46"/>
      <c r="F943" s="46"/>
      <c r="G943" s="46"/>
    </row>
    <row r="944" spans="1:7" ht="15" thickBot="1">
      <c r="A944" s="46"/>
      <c r="B944" s="46"/>
      <c r="C944" s="46"/>
      <c r="D944" s="46"/>
      <c r="E944" s="46"/>
      <c r="F944" s="46"/>
      <c r="G944" s="46"/>
    </row>
    <row r="945" spans="1:7" ht="15" thickBot="1">
      <c r="A945" s="46"/>
      <c r="B945" s="46"/>
      <c r="C945" s="46"/>
      <c r="D945" s="46"/>
      <c r="E945" s="46"/>
      <c r="F945" s="46"/>
      <c r="G945" s="46"/>
    </row>
    <row r="946" spans="1:7" ht="15" thickBot="1">
      <c r="A946" s="46"/>
      <c r="B946" s="46"/>
      <c r="C946" s="46"/>
      <c r="D946" s="46"/>
      <c r="E946" s="46"/>
      <c r="F946" s="46"/>
      <c r="G946" s="46"/>
    </row>
    <row r="947" spans="1:7" ht="15" thickBot="1">
      <c r="A947" s="46"/>
      <c r="B947" s="46"/>
      <c r="C947" s="46"/>
      <c r="D947" s="46"/>
      <c r="E947" s="46"/>
      <c r="F947" s="46"/>
      <c r="G947" s="46"/>
    </row>
    <row r="948" spans="1:7" ht="15" thickBot="1">
      <c r="A948" s="46"/>
      <c r="B948" s="46"/>
      <c r="C948" s="46"/>
      <c r="D948" s="46"/>
      <c r="E948" s="46"/>
      <c r="F948" s="46"/>
      <c r="G948" s="46"/>
    </row>
    <row r="949" spans="1:7" ht="15" thickBot="1">
      <c r="A949" s="46"/>
      <c r="B949" s="46"/>
      <c r="C949" s="46"/>
      <c r="D949" s="46"/>
      <c r="E949" s="46"/>
      <c r="F949" s="46"/>
      <c r="G949" s="46"/>
    </row>
    <row r="950" spans="1:7" ht="15" thickBot="1">
      <c r="A950" s="46"/>
      <c r="B950" s="46"/>
      <c r="C950" s="46"/>
      <c r="D950" s="46"/>
      <c r="E950" s="46"/>
      <c r="F950" s="46"/>
      <c r="G950" s="46"/>
    </row>
    <row r="951" spans="1:7" ht="15" thickBot="1">
      <c r="A951" s="46"/>
      <c r="B951" s="46"/>
      <c r="C951" s="46"/>
      <c r="D951" s="46"/>
      <c r="E951" s="46"/>
      <c r="F951" s="46"/>
      <c r="G951" s="46"/>
    </row>
    <row r="952" spans="1:7" ht="15" thickBot="1">
      <c r="A952" s="46"/>
      <c r="B952" s="46"/>
      <c r="C952" s="46"/>
      <c r="D952" s="46"/>
      <c r="E952" s="46"/>
      <c r="F952" s="46"/>
      <c r="G952" s="46"/>
    </row>
    <row r="953" spans="1:7" ht="15" thickBot="1">
      <c r="A953" s="46"/>
      <c r="B953" s="46"/>
      <c r="C953" s="46"/>
      <c r="D953" s="46"/>
      <c r="E953" s="46"/>
      <c r="F953" s="46"/>
      <c r="G953" s="46"/>
    </row>
    <row r="954" spans="1:7" ht="15" thickBot="1">
      <c r="A954" s="46"/>
      <c r="B954" s="46"/>
      <c r="C954" s="46"/>
      <c r="D954" s="46"/>
      <c r="E954" s="46"/>
      <c r="F954" s="46"/>
      <c r="G954" s="46"/>
    </row>
    <row r="955" spans="1:7" ht="15" thickBot="1">
      <c r="A955" s="46"/>
      <c r="B955" s="46"/>
      <c r="C955" s="46"/>
      <c r="D955" s="46"/>
      <c r="E955" s="46"/>
      <c r="F955" s="46"/>
      <c r="G955" s="46"/>
    </row>
    <row r="956" spans="1:7" ht="15" thickBot="1">
      <c r="A956" s="46"/>
      <c r="B956" s="46"/>
      <c r="C956" s="46"/>
      <c r="D956" s="46"/>
      <c r="E956" s="46"/>
      <c r="F956" s="46"/>
      <c r="G956" s="46"/>
    </row>
    <row r="957" spans="1:7" ht="15" thickBot="1">
      <c r="A957" s="46"/>
      <c r="B957" s="46"/>
      <c r="C957" s="46"/>
      <c r="D957" s="46"/>
      <c r="E957" s="46"/>
      <c r="F957" s="46"/>
      <c r="G957" s="46"/>
    </row>
    <row r="958" spans="1:7" ht="15" thickBot="1">
      <c r="A958" s="46"/>
      <c r="B958" s="46"/>
      <c r="C958" s="46"/>
      <c r="D958" s="46"/>
      <c r="E958" s="46"/>
      <c r="F958" s="46"/>
      <c r="G958" s="46"/>
    </row>
    <row r="959" spans="1:7" ht="15" thickBot="1">
      <c r="A959" s="46"/>
      <c r="B959" s="46"/>
      <c r="C959" s="46"/>
      <c r="D959" s="46"/>
      <c r="E959" s="46"/>
      <c r="F959" s="46"/>
      <c r="G959" s="46"/>
    </row>
    <row r="960" spans="1:7" ht="15" thickBot="1">
      <c r="A960" s="46"/>
      <c r="B960" s="46"/>
      <c r="C960" s="46"/>
      <c r="D960" s="46"/>
      <c r="E960" s="46"/>
      <c r="F960" s="46"/>
      <c r="G960" s="46"/>
    </row>
    <row r="961" spans="1:7" ht="15" thickBot="1">
      <c r="A961" s="46"/>
      <c r="B961" s="46"/>
      <c r="C961" s="46"/>
      <c r="D961" s="46"/>
      <c r="E961" s="46"/>
      <c r="F961" s="46"/>
      <c r="G961" s="46"/>
    </row>
    <row r="962" spans="1:7" ht="15" thickBot="1">
      <c r="A962" s="46"/>
      <c r="B962" s="46"/>
      <c r="C962" s="46"/>
      <c r="D962" s="46"/>
      <c r="E962" s="46"/>
      <c r="F962" s="46"/>
      <c r="G962" s="46"/>
    </row>
    <row r="963" spans="1:7" ht="15" thickBot="1">
      <c r="A963" s="46"/>
      <c r="B963" s="46"/>
      <c r="C963" s="46"/>
      <c r="D963" s="46"/>
      <c r="E963" s="46"/>
      <c r="F963" s="46"/>
      <c r="G963" s="46"/>
    </row>
    <row r="964" spans="1:7" ht="15" thickBot="1">
      <c r="A964" s="46"/>
      <c r="B964" s="46"/>
      <c r="C964" s="46"/>
      <c r="D964" s="46"/>
      <c r="E964" s="46"/>
      <c r="F964" s="46"/>
      <c r="G964" s="46"/>
    </row>
    <row r="965" spans="1:7" ht="15" thickBot="1">
      <c r="A965" s="46"/>
      <c r="B965" s="46"/>
      <c r="C965" s="46"/>
      <c r="D965" s="46"/>
      <c r="E965" s="46"/>
      <c r="F965" s="46"/>
      <c r="G965" s="46"/>
    </row>
    <row r="966" spans="1:7" ht="15" thickBot="1">
      <c r="A966" s="46"/>
      <c r="B966" s="46"/>
      <c r="C966" s="46"/>
      <c r="D966" s="46"/>
      <c r="E966" s="46"/>
      <c r="F966" s="46"/>
      <c r="G966" s="46"/>
    </row>
    <row r="967" spans="1:7" ht="15" thickBot="1">
      <c r="A967" s="46"/>
      <c r="B967" s="46"/>
      <c r="C967" s="46"/>
      <c r="D967" s="46"/>
      <c r="E967" s="46"/>
      <c r="F967" s="46"/>
      <c r="G967" s="46"/>
    </row>
    <row r="968" spans="1:7" ht="15" thickBot="1">
      <c r="A968" s="46"/>
      <c r="B968" s="46"/>
      <c r="C968" s="46"/>
      <c r="D968" s="46"/>
      <c r="E968" s="46"/>
      <c r="F968" s="46"/>
      <c r="G968" s="46"/>
    </row>
    <row r="969" spans="1:7" ht="15" thickBot="1">
      <c r="A969" s="46"/>
      <c r="B969" s="46"/>
      <c r="C969" s="46"/>
      <c r="D969" s="46"/>
      <c r="E969" s="46"/>
      <c r="F969" s="46"/>
      <c r="G969" s="46"/>
    </row>
    <row r="970" spans="1:7" ht="15" thickBot="1">
      <c r="A970" s="46"/>
      <c r="B970" s="46"/>
      <c r="C970" s="46"/>
      <c r="D970" s="46"/>
      <c r="E970" s="46"/>
      <c r="F970" s="46"/>
      <c r="G970" s="46"/>
    </row>
    <row r="971" spans="1:7" ht="15" thickBot="1">
      <c r="A971" s="46"/>
      <c r="B971" s="46"/>
      <c r="C971" s="46"/>
      <c r="D971" s="46"/>
      <c r="E971" s="46"/>
      <c r="F971" s="46"/>
      <c r="G971" s="46"/>
    </row>
    <row r="972" spans="1:7" ht="15" thickBot="1">
      <c r="A972" s="46"/>
      <c r="B972" s="46"/>
      <c r="C972" s="46"/>
      <c r="D972" s="46"/>
      <c r="E972" s="46"/>
      <c r="F972" s="46"/>
      <c r="G972" s="46"/>
    </row>
    <row r="973" spans="1:7" ht="15" thickBot="1">
      <c r="A973" s="46"/>
      <c r="B973" s="46"/>
      <c r="C973" s="46"/>
      <c r="D973" s="46"/>
      <c r="E973" s="46"/>
      <c r="F973" s="46"/>
      <c r="G973" s="46"/>
    </row>
    <row r="974" spans="1:7" ht="15" thickBot="1">
      <c r="A974" s="46"/>
      <c r="B974" s="46"/>
      <c r="C974" s="46"/>
      <c r="D974" s="46"/>
      <c r="E974" s="46"/>
      <c r="F974" s="46"/>
      <c r="G974" s="46"/>
    </row>
    <row r="975" spans="1:7" ht="15" thickBot="1">
      <c r="A975" s="46"/>
      <c r="B975" s="46"/>
      <c r="C975" s="46"/>
      <c r="D975" s="46"/>
      <c r="E975" s="46"/>
      <c r="F975" s="46"/>
      <c r="G975" s="46"/>
    </row>
    <row r="976" spans="1:7" ht="15" thickBot="1">
      <c r="A976" s="46"/>
      <c r="B976" s="46"/>
      <c r="C976" s="46"/>
      <c r="D976" s="46"/>
      <c r="E976" s="46"/>
      <c r="F976" s="46"/>
      <c r="G976" s="46"/>
    </row>
    <row r="977" spans="1:7" ht="15" thickBot="1">
      <c r="A977" s="46"/>
      <c r="B977" s="46"/>
      <c r="C977" s="46"/>
      <c r="D977" s="46"/>
      <c r="E977" s="46"/>
      <c r="F977" s="46"/>
      <c r="G977" s="46"/>
    </row>
    <row r="978" spans="1:7" ht="15" thickBot="1">
      <c r="A978" s="46"/>
      <c r="B978" s="46"/>
      <c r="C978" s="46"/>
      <c r="D978" s="46"/>
      <c r="E978" s="46"/>
      <c r="F978" s="46"/>
      <c r="G978" s="46"/>
    </row>
    <row r="979" spans="1:7" ht="15" thickBot="1">
      <c r="A979" s="46"/>
      <c r="B979" s="46"/>
      <c r="C979" s="46"/>
      <c r="D979" s="46"/>
      <c r="E979" s="46"/>
      <c r="F979" s="46"/>
      <c r="G979" s="46"/>
    </row>
    <row r="980" spans="1:7" ht="15" thickBot="1">
      <c r="A980" s="46"/>
      <c r="B980" s="46"/>
      <c r="C980" s="46"/>
      <c r="D980" s="46"/>
      <c r="E980" s="46"/>
      <c r="F980" s="46"/>
      <c r="G980" s="46"/>
    </row>
    <row r="981" spans="1:7" ht="15" thickBot="1">
      <c r="A981" s="46"/>
      <c r="B981" s="46"/>
      <c r="C981" s="46"/>
      <c r="D981" s="46"/>
      <c r="E981" s="46"/>
      <c r="F981" s="46"/>
      <c r="G981" s="46"/>
    </row>
    <row r="982" spans="1:7" ht="15" thickBot="1">
      <c r="A982" s="46"/>
      <c r="B982" s="46"/>
      <c r="C982" s="46"/>
      <c r="D982" s="46"/>
      <c r="E982" s="46"/>
      <c r="F982" s="46"/>
      <c r="G982" s="46"/>
    </row>
    <row r="983" spans="1:7" ht="15" thickBot="1">
      <c r="A983" s="46"/>
      <c r="B983" s="46"/>
      <c r="C983" s="46"/>
      <c r="D983" s="46"/>
      <c r="E983" s="46"/>
      <c r="F983" s="46"/>
      <c r="G983" s="46"/>
    </row>
    <row r="984" spans="1:7" ht="15" thickBot="1">
      <c r="A984" s="46"/>
      <c r="B984" s="46"/>
      <c r="C984" s="46"/>
      <c r="D984" s="46"/>
      <c r="E984" s="46"/>
      <c r="F984" s="46"/>
      <c r="G984" s="46"/>
    </row>
    <row r="985" spans="1:7" ht="15" thickBot="1">
      <c r="A985" s="46"/>
      <c r="B985" s="46"/>
      <c r="C985" s="46"/>
      <c r="D985" s="46"/>
      <c r="E985" s="46"/>
      <c r="F985" s="46"/>
      <c r="G985" s="46"/>
    </row>
    <row r="986" spans="1:7" ht="15" thickBot="1">
      <c r="A986" s="46"/>
      <c r="B986" s="46"/>
      <c r="C986" s="46"/>
      <c r="D986" s="46"/>
      <c r="E986" s="46"/>
      <c r="F986" s="46"/>
      <c r="G986" s="46"/>
    </row>
    <row r="987" spans="1:7" ht="15" thickBot="1">
      <c r="A987" s="46"/>
      <c r="B987" s="46"/>
      <c r="C987" s="46"/>
      <c r="D987" s="46"/>
      <c r="E987" s="46"/>
      <c r="F987" s="46"/>
      <c r="G987" s="46"/>
    </row>
    <row r="988" spans="1:7" ht="15" thickBot="1">
      <c r="A988" s="46"/>
      <c r="B988" s="46"/>
      <c r="C988" s="46"/>
      <c r="D988" s="46"/>
      <c r="E988" s="46"/>
      <c r="F988" s="46"/>
      <c r="G988" s="46"/>
    </row>
    <row r="989" spans="1:7" ht="15" thickBot="1">
      <c r="A989" s="46"/>
      <c r="B989" s="46"/>
      <c r="C989" s="46"/>
      <c r="D989" s="46"/>
      <c r="E989" s="46"/>
      <c r="F989" s="46"/>
      <c r="G989" s="46"/>
    </row>
    <row r="990" spans="1:7" ht="15" thickBot="1">
      <c r="A990" s="46"/>
      <c r="B990" s="46"/>
      <c r="C990" s="46"/>
      <c r="D990" s="46"/>
      <c r="E990" s="46"/>
      <c r="F990" s="46"/>
      <c r="G990" s="46"/>
    </row>
    <row r="991" spans="1:7" ht="15" thickBot="1">
      <c r="A991" s="46"/>
      <c r="B991" s="46"/>
      <c r="C991" s="46"/>
      <c r="D991" s="46"/>
      <c r="E991" s="46"/>
      <c r="F991" s="46"/>
      <c r="G991" s="46"/>
    </row>
    <row r="992" spans="1:7" ht="15" thickBot="1">
      <c r="A992" s="46"/>
      <c r="B992" s="46"/>
      <c r="C992" s="46"/>
      <c r="D992" s="46"/>
      <c r="E992" s="46"/>
      <c r="F992" s="46"/>
      <c r="G992" s="46"/>
    </row>
    <row r="993" spans="1:7" ht="15" thickBot="1">
      <c r="A993" s="46"/>
      <c r="B993" s="46"/>
      <c r="C993" s="46"/>
      <c r="D993" s="46"/>
      <c r="E993" s="46"/>
      <c r="F993" s="46"/>
      <c r="G993" s="46"/>
    </row>
    <row r="994" spans="1:7" ht="15" thickBot="1">
      <c r="A994" s="46"/>
      <c r="B994" s="46"/>
      <c r="C994" s="46"/>
      <c r="D994" s="46"/>
      <c r="E994" s="46"/>
      <c r="F994" s="46"/>
      <c r="G994" s="46"/>
    </row>
    <row r="995" spans="1:7" ht="15" thickBot="1">
      <c r="A995" s="46"/>
      <c r="B995" s="46"/>
      <c r="C995" s="46"/>
      <c r="D995" s="46"/>
      <c r="E995" s="46"/>
      <c r="F995" s="46"/>
      <c r="G995" s="46"/>
    </row>
    <row r="996" spans="1:7" ht="15" thickBot="1">
      <c r="A996" s="46"/>
      <c r="B996" s="46"/>
      <c r="C996" s="46"/>
      <c r="D996" s="46"/>
      <c r="E996" s="46"/>
      <c r="F996" s="46"/>
      <c r="G996" s="46"/>
    </row>
    <row r="997" spans="1:7" ht="15" thickBot="1">
      <c r="A997" s="46"/>
      <c r="B997" s="46"/>
      <c r="C997" s="46"/>
      <c r="D997" s="46"/>
      <c r="E997" s="46"/>
      <c r="F997" s="46"/>
      <c r="G997" s="46"/>
    </row>
  </sheetData>
  <mergeCells count="2">
    <mergeCell ref="B2:B5"/>
    <mergeCell ref="B6: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125F-6AC3-401C-B55B-557D0B217B3B}">
  <dimension ref="A1:R250"/>
  <sheetViews>
    <sheetView workbookViewId="0">
      <selection activeCell="S1" sqref="S1:S1048576"/>
    </sheetView>
  </sheetViews>
  <sheetFormatPr defaultColWidth="41.81640625" defaultRowHeight="14.5"/>
  <cols>
    <col min="1" max="1" width="11.1796875" bestFit="1" customWidth="1"/>
    <col min="2" max="2" width="5.08984375" bestFit="1" customWidth="1"/>
    <col min="3" max="3" width="11.36328125" bestFit="1" customWidth="1"/>
    <col min="4" max="4" width="13.90625" bestFit="1" customWidth="1"/>
    <col min="5" max="5" width="24.36328125" bestFit="1" customWidth="1"/>
    <col min="6" max="6" width="25.26953125" bestFit="1" customWidth="1"/>
    <col min="7" max="7" width="18.6328125" bestFit="1" customWidth="1"/>
    <col min="8" max="8" width="40.54296875" bestFit="1" customWidth="1"/>
    <col min="9" max="9" width="23.90625" bestFit="1" customWidth="1"/>
    <col min="10" max="10" width="30.26953125" bestFit="1" customWidth="1"/>
    <col min="11" max="11" width="28.7265625" bestFit="1" customWidth="1"/>
    <col min="12" max="12" width="20.08984375" bestFit="1" customWidth="1"/>
    <col min="13" max="13" width="31.453125" bestFit="1" customWidth="1"/>
    <col min="14" max="14" width="28.7265625" bestFit="1" customWidth="1"/>
    <col min="15" max="15" width="20.08984375" bestFit="1" customWidth="1"/>
    <col min="16" max="16" width="20.90625" bestFit="1" customWidth="1"/>
    <col min="17" max="17" width="25.36328125" bestFit="1" customWidth="1"/>
    <col min="18" max="18" width="17" bestFit="1" customWidth="1"/>
  </cols>
  <sheetData>
    <row r="1" spans="1:18" ht="15" thickBot="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row>
    <row r="2" spans="1:18" ht="15" thickBot="1">
      <c r="A2" s="4" t="s">
        <v>18</v>
      </c>
      <c r="B2" s="5" t="s">
        <v>19</v>
      </c>
      <c r="C2" s="5" t="s">
        <v>20</v>
      </c>
      <c r="D2" s="5" t="s">
        <v>21</v>
      </c>
      <c r="E2" s="5" t="s">
        <v>22</v>
      </c>
      <c r="F2" s="5">
        <v>8007696417</v>
      </c>
      <c r="G2" s="5" t="s">
        <v>23</v>
      </c>
      <c r="H2" s="5" t="s">
        <v>24</v>
      </c>
      <c r="I2" s="5">
        <v>8160593572</v>
      </c>
      <c r="J2" s="5" t="s">
        <v>25</v>
      </c>
      <c r="K2" s="5" t="s">
        <v>26</v>
      </c>
      <c r="L2" s="5">
        <v>9173700204</v>
      </c>
      <c r="M2" s="5" t="s">
        <v>27</v>
      </c>
      <c r="N2" s="5" t="s">
        <v>28</v>
      </c>
      <c r="O2" s="5">
        <v>8160776092</v>
      </c>
      <c r="P2" s="6"/>
      <c r="Q2" s="6"/>
      <c r="R2" s="6"/>
    </row>
    <row r="3" spans="1:18" ht="15" thickBot="1">
      <c r="A3" s="7" t="s">
        <v>29</v>
      </c>
      <c r="B3" s="8" t="s">
        <v>30</v>
      </c>
      <c r="C3" s="5" t="s">
        <v>20</v>
      </c>
      <c r="D3" s="8" t="s">
        <v>31</v>
      </c>
      <c r="E3" s="8" t="s">
        <v>32</v>
      </c>
      <c r="F3" s="8" t="s">
        <v>33</v>
      </c>
      <c r="G3" s="8" t="s">
        <v>34</v>
      </c>
      <c r="H3" s="8" t="s">
        <v>35</v>
      </c>
      <c r="I3" s="8">
        <v>9497320464</v>
      </c>
      <c r="J3" s="8" t="s">
        <v>36</v>
      </c>
      <c r="K3" s="8" t="s">
        <v>37</v>
      </c>
      <c r="L3" s="8" t="s">
        <v>38</v>
      </c>
      <c r="M3" s="8" t="s">
        <v>39</v>
      </c>
      <c r="N3" s="8" t="s">
        <v>40</v>
      </c>
      <c r="O3" s="8">
        <v>9663575036</v>
      </c>
      <c r="P3" s="6"/>
      <c r="Q3" s="6"/>
      <c r="R3" s="6"/>
    </row>
    <row r="4" spans="1:18" ht="15" thickBot="1">
      <c r="A4" s="4" t="s">
        <v>41</v>
      </c>
      <c r="B4" s="5" t="s">
        <v>30</v>
      </c>
      <c r="C4" s="5" t="s">
        <v>20</v>
      </c>
      <c r="D4" s="5" t="s">
        <v>31</v>
      </c>
      <c r="E4" s="5" t="s">
        <v>32</v>
      </c>
      <c r="F4" s="5" t="s">
        <v>33</v>
      </c>
      <c r="G4" s="5" t="s">
        <v>42</v>
      </c>
      <c r="H4" s="5" t="s">
        <v>43</v>
      </c>
      <c r="I4" s="5">
        <v>6363387963</v>
      </c>
      <c r="J4" s="5" t="s">
        <v>44</v>
      </c>
      <c r="K4" s="5" t="s">
        <v>45</v>
      </c>
      <c r="L4" s="5">
        <v>7090078440</v>
      </c>
      <c r="M4" s="5" t="s">
        <v>46</v>
      </c>
      <c r="N4" s="5" t="s">
        <v>47</v>
      </c>
      <c r="O4" s="5">
        <v>9164532362</v>
      </c>
      <c r="P4" s="6"/>
      <c r="Q4" s="6"/>
      <c r="R4" s="6"/>
    </row>
    <row r="5" spans="1:18" ht="15" thickBot="1">
      <c r="A5" s="4" t="s">
        <v>48</v>
      </c>
      <c r="B5" s="5" t="s">
        <v>19</v>
      </c>
      <c r="C5" s="5" t="s">
        <v>20</v>
      </c>
      <c r="D5" s="5" t="s">
        <v>49</v>
      </c>
      <c r="E5" s="5" t="s">
        <v>50</v>
      </c>
      <c r="F5" s="5">
        <v>9004551388</v>
      </c>
      <c r="G5" s="5" t="s">
        <v>51</v>
      </c>
      <c r="H5" s="5" t="s">
        <v>52</v>
      </c>
      <c r="I5" s="5">
        <v>8355872770</v>
      </c>
      <c r="J5" s="5" t="s">
        <v>53</v>
      </c>
      <c r="K5" s="5" t="s">
        <v>54</v>
      </c>
      <c r="L5" s="5">
        <v>8888726472</v>
      </c>
      <c r="M5" s="5" t="s">
        <v>55</v>
      </c>
      <c r="N5" s="5" t="s">
        <v>56</v>
      </c>
      <c r="O5" s="5">
        <v>7738879336</v>
      </c>
      <c r="P5" s="6"/>
      <c r="Q5" s="5" t="s">
        <v>57</v>
      </c>
      <c r="R5" s="5">
        <v>9226395808</v>
      </c>
    </row>
    <row r="6" spans="1:18" ht="23.5" thickBot="1">
      <c r="A6" s="4" t="s">
        <v>58</v>
      </c>
      <c r="B6" s="5" t="s">
        <v>19</v>
      </c>
      <c r="C6" s="5" t="s">
        <v>20</v>
      </c>
      <c r="D6" s="5" t="s">
        <v>49</v>
      </c>
      <c r="E6" s="5" t="s">
        <v>50</v>
      </c>
      <c r="F6" s="5">
        <v>9004551388</v>
      </c>
      <c r="G6" s="5" t="s">
        <v>59</v>
      </c>
      <c r="H6" s="5" t="s">
        <v>60</v>
      </c>
      <c r="I6" s="5" t="s">
        <v>61</v>
      </c>
      <c r="J6" s="5" t="s">
        <v>62</v>
      </c>
      <c r="K6" s="5" t="s">
        <v>63</v>
      </c>
      <c r="L6" s="5">
        <v>7767908097</v>
      </c>
      <c r="M6" s="5" t="s">
        <v>64</v>
      </c>
      <c r="N6" s="5" t="s">
        <v>65</v>
      </c>
      <c r="O6" s="5">
        <v>9922621942</v>
      </c>
      <c r="P6" s="6"/>
      <c r="Q6" s="6"/>
      <c r="R6" s="6"/>
    </row>
    <row r="7" spans="1:18" ht="15" thickBot="1">
      <c r="A7" s="10" t="s">
        <v>66</v>
      </c>
      <c r="B7" s="11" t="s">
        <v>19</v>
      </c>
      <c r="C7" s="11" t="s">
        <v>67</v>
      </c>
      <c r="D7" s="11" t="s">
        <v>49</v>
      </c>
      <c r="E7" s="11" t="s">
        <v>50</v>
      </c>
      <c r="F7" s="11">
        <v>9004551388</v>
      </c>
      <c r="G7" s="11" t="s">
        <v>68</v>
      </c>
      <c r="H7" s="11" t="s">
        <v>69</v>
      </c>
      <c r="I7" s="11">
        <v>7024477807</v>
      </c>
      <c r="J7" s="11" t="s">
        <v>70</v>
      </c>
      <c r="K7" s="11" t="s">
        <v>71</v>
      </c>
      <c r="L7" s="11">
        <v>8591085838</v>
      </c>
      <c r="M7" s="11" t="s">
        <v>72</v>
      </c>
      <c r="N7" s="11" t="s">
        <v>73</v>
      </c>
      <c r="O7" s="11">
        <v>8483900198</v>
      </c>
      <c r="P7" s="11" t="s">
        <v>74</v>
      </c>
      <c r="Q7" s="11" t="s">
        <v>75</v>
      </c>
      <c r="R7" s="11">
        <v>8109234404</v>
      </c>
    </row>
    <row r="8" spans="1:18" ht="15" thickBot="1">
      <c r="A8" s="4" t="s">
        <v>76</v>
      </c>
      <c r="B8" s="5" t="s">
        <v>77</v>
      </c>
      <c r="C8" s="5" t="s">
        <v>20</v>
      </c>
      <c r="D8" s="5" t="s">
        <v>78</v>
      </c>
      <c r="E8" s="5" t="s">
        <v>79</v>
      </c>
      <c r="F8" s="5">
        <v>7001020075</v>
      </c>
      <c r="G8" s="5" t="s">
        <v>80</v>
      </c>
      <c r="H8" s="5" t="s">
        <v>81</v>
      </c>
      <c r="I8" s="5">
        <v>9124377820</v>
      </c>
      <c r="J8" s="5" t="s">
        <v>82</v>
      </c>
      <c r="K8" s="5" t="s">
        <v>83</v>
      </c>
      <c r="L8" s="5">
        <v>8700962598</v>
      </c>
      <c r="M8" s="5" t="s">
        <v>84</v>
      </c>
      <c r="N8" s="5" t="s">
        <v>85</v>
      </c>
      <c r="O8" s="5">
        <v>9040877464</v>
      </c>
      <c r="P8" s="6"/>
      <c r="Q8" s="6"/>
      <c r="R8" s="6"/>
    </row>
    <row r="9" spans="1:18" ht="15" thickBot="1">
      <c r="A9" s="4" t="s">
        <v>86</v>
      </c>
      <c r="B9" s="5" t="s">
        <v>77</v>
      </c>
      <c r="C9" s="5" t="s">
        <v>20</v>
      </c>
      <c r="D9" s="5" t="s">
        <v>78</v>
      </c>
      <c r="E9" s="5" t="s">
        <v>79</v>
      </c>
      <c r="F9" s="5">
        <v>7001020075</v>
      </c>
      <c r="G9" s="5" t="s">
        <v>80</v>
      </c>
      <c r="H9" s="5" t="s">
        <v>81</v>
      </c>
      <c r="I9" s="5">
        <v>9124377820</v>
      </c>
      <c r="J9" s="5" t="s">
        <v>87</v>
      </c>
      <c r="K9" s="5" t="s">
        <v>88</v>
      </c>
      <c r="L9" s="5">
        <v>9668843849</v>
      </c>
      <c r="M9" s="5" t="s">
        <v>89</v>
      </c>
      <c r="N9" s="5" t="s">
        <v>90</v>
      </c>
      <c r="O9" s="5">
        <v>9439315064</v>
      </c>
      <c r="P9" s="6"/>
      <c r="Q9" s="6"/>
      <c r="R9" s="6"/>
    </row>
    <row r="10" spans="1:18" ht="15" thickBot="1">
      <c r="A10" s="10" t="s">
        <v>91</v>
      </c>
      <c r="B10" s="11" t="s">
        <v>30</v>
      </c>
      <c r="C10" s="11" t="s">
        <v>67</v>
      </c>
      <c r="D10" s="11" t="s">
        <v>31</v>
      </c>
      <c r="E10" s="11" t="s">
        <v>32</v>
      </c>
      <c r="F10" s="11" t="s">
        <v>33</v>
      </c>
      <c r="G10" s="11" t="s">
        <v>92</v>
      </c>
      <c r="H10" s="11" t="s">
        <v>93</v>
      </c>
      <c r="I10" s="11">
        <v>7358110674</v>
      </c>
      <c r="J10" s="11" t="s">
        <v>94</v>
      </c>
      <c r="K10" s="11" t="s">
        <v>95</v>
      </c>
      <c r="L10" s="11">
        <v>6385797985</v>
      </c>
      <c r="M10" s="11" t="s">
        <v>96</v>
      </c>
      <c r="N10" s="11" t="s">
        <v>97</v>
      </c>
      <c r="O10" s="11">
        <v>9360681063</v>
      </c>
      <c r="P10" s="11" t="s">
        <v>98</v>
      </c>
      <c r="Q10" s="11" t="s">
        <v>99</v>
      </c>
      <c r="R10" s="11" t="s">
        <v>100</v>
      </c>
    </row>
    <row r="11" spans="1:18" ht="15" thickBot="1">
      <c r="A11" s="10" t="s">
        <v>101</v>
      </c>
      <c r="B11" s="11" t="s">
        <v>102</v>
      </c>
      <c r="C11" s="11" t="s">
        <v>67</v>
      </c>
      <c r="D11" s="11" t="s">
        <v>103</v>
      </c>
      <c r="E11" s="11" t="s">
        <v>104</v>
      </c>
      <c r="F11" s="11">
        <v>8097928258</v>
      </c>
      <c r="G11" s="11" t="s">
        <v>105</v>
      </c>
      <c r="H11" s="11" t="s">
        <v>106</v>
      </c>
      <c r="I11" s="11">
        <v>9166587996</v>
      </c>
      <c r="J11" s="11" t="s">
        <v>107</v>
      </c>
      <c r="K11" s="11" t="s">
        <v>108</v>
      </c>
      <c r="L11" s="12">
        <v>9451983805</v>
      </c>
      <c r="M11" s="13"/>
      <c r="N11" s="13"/>
      <c r="O11" s="13"/>
      <c r="P11" s="13"/>
      <c r="Q11" s="13"/>
      <c r="R11" s="13"/>
    </row>
    <row r="12" spans="1:18" ht="15" thickBot="1">
      <c r="A12" s="4" t="s">
        <v>109</v>
      </c>
      <c r="B12" s="5" t="s">
        <v>102</v>
      </c>
      <c r="C12" s="5" t="s">
        <v>20</v>
      </c>
      <c r="D12" s="5" t="s">
        <v>110</v>
      </c>
      <c r="E12" s="5" t="s">
        <v>111</v>
      </c>
      <c r="F12" s="5">
        <v>9582713760</v>
      </c>
      <c r="G12" s="5" t="s">
        <v>112</v>
      </c>
      <c r="H12" s="5" t="s">
        <v>113</v>
      </c>
      <c r="I12" s="5">
        <v>9212555696</v>
      </c>
      <c r="J12" s="5" t="s">
        <v>114</v>
      </c>
      <c r="K12" s="5" t="s">
        <v>115</v>
      </c>
      <c r="L12" s="5">
        <v>6398993379</v>
      </c>
      <c r="M12" s="5" t="s">
        <v>116</v>
      </c>
      <c r="N12" s="5" t="s">
        <v>117</v>
      </c>
      <c r="O12" s="5">
        <v>9990061118</v>
      </c>
      <c r="P12" s="6"/>
      <c r="Q12" s="6"/>
      <c r="R12" s="6"/>
    </row>
    <row r="13" spans="1:18" ht="15" thickBot="1">
      <c r="A13" s="4" t="s">
        <v>118</v>
      </c>
      <c r="B13" s="5" t="s">
        <v>102</v>
      </c>
      <c r="C13" s="5" t="s">
        <v>20</v>
      </c>
      <c r="D13" s="5" t="s">
        <v>103</v>
      </c>
      <c r="E13" s="5" t="s">
        <v>104</v>
      </c>
      <c r="F13" s="5">
        <v>8097928258</v>
      </c>
      <c r="G13" s="5" t="s">
        <v>119</v>
      </c>
      <c r="H13" s="5" t="s">
        <v>120</v>
      </c>
      <c r="I13" s="5">
        <v>9257905437</v>
      </c>
      <c r="J13" s="5" t="s">
        <v>121</v>
      </c>
      <c r="K13" s="5" t="s">
        <v>122</v>
      </c>
      <c r="L13" s="5">
        <v>7701835822</v>
      </c>
      <c r="M13" s="5" t="s">
        <v>123</v>
      </c>
      <c r="N13" s="5" t="s">
        <v>124</v>
      </c>
      <c r="O13" s="5">
        <v>8800304177</v>
      </c>
      <c r="P13" s="6"/>
      <c r="Q13" s="6"/>
      <c r="R13" s="6"/>
    </row>
    <row r="14" spans="1:18" ht="15" thickBot="1">
      <c r="A14" s="10" t="s">
        <v>126</v>
      </c>
      <c r="B14" s="11" t="s">
        <v>30</v>
      </c>
      <c r="C14" s="11" t="s">
        <v>67</v>
      </c>
      <c r="D14" s="11" t="s">
        <v>31</v>
      </c>
      <c r="E14" s="11" t="s">
        <v>32</v>
      </c>
      <c r="F14" s="11" t="s">
        <v>33</v>
      </c>
      <c r="G14" s="11" t="s">
        <v>42</v>
      </c>
      <c r="H14" s="11" t="s">
        <v>43</v>
      </c>
      <c r="I14" s="11">
        <v>6363387963</v>
      </c>
      <c r="J14" s="11" t="s">
        <v>127</v>
      </c>
      <c r="K14" s="11" t="s">
        <v>128</v>
      </c>
      <c r="L14" s="11" t="s">
        <v>129</v>
      </c>
      <c r="M14" s="13"/>
      <c r="N14" s="11" t="s">
        <v>130</v>
      </c>
      <c r="O14" s="11">
        <v>9513666556</v>
      </c>
      <c r="P14" s="11" t="s">
        <v>131</v>
      </c>
      <c r="Q14" s="11" t="s">
        <v>132</v>
      </c>
      <c r="R14" s="11" t="s">
        <v>133</v>
      </c>
    </row>
    <row r="15" spans="1:18" ht="15" thickBot="1">
      <c r="A15" s="4" t="s">
        <v>134</v>
      </c>
      <c r="B15" s="5" t="s">
        <v>102</v>
      </c>
      <c r="C15" s="5" t="s">
        <v>20</v>
      </c>
      <c r="D15" s="5" t="s">
        <v>103</v>
      </c>
      <c r="E15" s="5" t="s">
        <v>104</v>
      </c>
      <c r="F15" s="5">
        <v>8097928258</v>
      </c>
      <c r="G15" s="5" t="s">
        <v>135</v>
      </c>
      <c r="H15" s="5" t="s">
        <v>136</v>
      </c>
      <c r="I15" s="5">
        <v>7291972416</v>
      </c>
      <c r="J15" s="5" t="s">
        <v>137</v>
      </c>
      <c r="K15" s="5" t="s">
        <v>138</v>
      </c>
      <c r="L15" s="5">
        <v>8234854147</v>
      </c>
      <c r="M15" s="6"/>
      <c r="N15" s="6"/>
      <c r="O15" s="6"/>
      <c r="P15" s="6"/>
      <c r="Q15" s="6"/>
      <c r="R15" s="6"/>
    </row>
    <row r="16" spans="1:18" ht="15" thickBot="1">
      <c r="A16" s="4" t="s">
        <v>139</v>
      </c>
      <c r="B16" s="5" t="s">
        <v>102</v>
      </c>
      <c r="C16" s="5" t="s">
        <v>20</v>
      </c>
      <c r="D16" s="5" t="s">
        <v>110</v>
      </c>
      <c r="E16" s="5" t="s">
        <v>111</v>
      </c>
      <c r="F16" s="5">
        <v>9582713760</v>
      </c>
      <c r="G16" s="5" t="s">
        <v>140</v>
      </c>
      <c r="H16" s="5" t="s">
        <v>141</v>
      </c>
      <c r="I16" s="5">
        <v>8527384707</v>
      </c>
      <c r="J16" s="8" t="s">
        <v>142</v>
      </c>
      <c r="K16" s="14" t="s">
        <v>143</v>
      </c>
      <c r="L16" s="8">
        <v>8278982239</v>
      </c>
      <c r="M16" s="8" t="s">
        <v>144</v>
      </c>
      <c r="N16" s="14" t="s">
        <v>145</v>
      </c>
      <c r="O16" s="8">
        <v>7056497596</v>
      </c>
      <c r="P16" s="6"/>
      <c r="Q16" s="6"/>
      <c r="R16" s="6"/>
    </row>
    <row r="17" spans="1:18" ht="15" thickBot="1">
      <c r="A17" s="10" t="s">
        <v>147</v>
      </c>
      <c r="B17" s="11" t="s">
        <v>102</v>
      </c>
      <c r="C17" s="11" t="s">
        <v>67</v>
      </c>
      <c r="D17" s="11" t="s">
        <v>103</v>
      </c>
      <c r="E17" s="11" t="s">
        <v>104</v>
      </c>
      <c r="F17" s="11">
        <v>8097928258</v>
      </c>
      <c r="G17" s="11" t="s">
        <v>105</v>
      </c>
      <c r="H17" s="11" t="s">
        <v>106</v>
      </c>
      <c r="I17" s="11">
        <v>9166587996</v>
      </c>
      <c r="J17" s="13"/>
      <c r="K17" s="13"/>
      <c r="L17" s="13"/>
      <c r="M17" s="13"/>
      <c r="N17" s="13"/>
      <c r="O17" s="13"/>
      <c r="P17" s="13"/>
      <c r="Q17" s="13"/>
      <c r="R17" s="13"/>
    </row>
    <row r="18" spans="1:18" ht="15" thickBot="1">
      <c r="A18" s="4" t="s">
        <v>149</v>
      </c>
      <c r="B18" s="5" t="s">
        <v>102</v>
      </c>
      <c r="C18" s="5" t="s">
        <v>20</v>
      </c>
      <c r="D18" s="5" t="s">
        <v>103</v>
      </c>
      <c r="E18" s="5" t="s">
        <v>104</v>
      </c>
      <c r="F18" s="5">
        <v>8097928258</v>
      </c>
      <c r="G18" s="5" t="s">
        <v>150</v>
      </c>
      <c r="H18" s="5" t="s">
        <v>151</v>
      </c>
      <c r="I18" s="5">
        <v>6388563799</v>
      </c>
      <c r="J18" s="5" t="s">
        <v>107</v>
      </c>
      <c r="K18" s="5" t="s">
        <v>108</v>
      </c>
      <c r="L18" s="5">
        <v>9451983805</v>
      </c>
      <c r="M18" s="5" t="s">
        <v>152</v>
      </c>
      <c r="N18" s="5" t="s">
        <v>153</v>
      </c>
      <c r="O18" s="5">
        <v>9811699234</v>
      </c>
      <c r="P18" s="15"/>
      <c r="Q18" s="15"/>
      <c r="R18" s="6"/>
    </row>
    <row r="19" spans="1:18" ht="15" thickBot="1">
      <c r="A19" s="4" t="s">
        <v>154</v>
      </c>
      <c r="B19" s="5" t="s">
        <v>102</v>
      </c>
      <c r="C19" s="5" t="s">
        <v>20</v>
      </c>
      <c r="D19" s="5" t="s">
        <v>103</v>
      </c>
      <c r="E19" s="5" t="s">
        <v>104</v>
      </c>
      <c r="F19" s="5">
        <v>8097928258</v>
      </c>
      <c r="G19" s="5" t="s">
        <v>155</v>
      </c>
      <c r="H19" s="5" t="s">
        <v>156</v>
      </c>
      <c r="I19" s="5">
        <v>9266806499</v>
      </c>
      <c r="J19" s="5" t="s">
        <v>157</v>
      </c>
      <c r="K19" s="5" t="s">
        <v>158</v>
      </c>
      <c r="L19" s="5">
        <v>9718167299</v>
      </c>
      <c r="M19" s="6"/>
      <c r="N19" s="6"/>
      <c r="O19" s="6"/>
      <c r="P19" s="6"/>
      <c r="Q19" s="6"/>
      <c r="R19" s="6"/>
    </row>
    <row r="20" spans="1:18" ht="15" thickBot="1">
      <c r="A20" s="10" t="s">
        <v>159</v>
      </c>
      <c r="B20" s="11" t="s">
        <v>102</v>
      </c>
      <c r="C20" s="11" t="s">
        <v>67</v>
      </c>
      <c r="D20" s="11" t="s">
        <v>103</v>
      </c>
      <c r="E20" s="11" t="s">
        <v>104</v>
      </c>
      <c r="F20" s="11">
        <v>8097928258</v>
      </c>
      <c r="G20" s="11" t="s">
        <v>150</v>
      </c>
      <c r="H20" s="11" t="s">
        <v>151</v>
      </c>
      <c r="I20" s="11">
        <v>6388563799</v>
      </c>
      <c r="J20" s="13"/>
      <c r="K20" s="13"/>
      <c r="L20" s="13"/>
      <c r="M20" s="13"/>
      <c r="N20" s="13"/>
      <c r="O20" s="13"/>
      <c r="P20" s="13"/>
      <c r="Q20" s="13"/>
      <c r="R20" s="13"/>
    </row>
    <row r="21" spans="1:18" ht="15" thickBot="1">
      <c r="A21" s="4" t="s">
        <v>161</v>
      </c>
      <c r="B21" s="5" t="s">
        <v>77</v>
      </c>
      <c r="C21" s="5" t="s">
        <v>20</v>
      </c>
      <c r="D21" s="5" t="s">
        <v>78</v>
      </c>
      <c r="E21" s="5" t="s">
        <v>79</v>
      </c>
      <c r="F21" s="5">
        <v>7001020075</v>
      </c>
      <c r="G21" s="5" t="s">
        <v>162</v>
      </c>
      <c r="H21" s="5" t="s">
        <v>163</v>
      </c>
      <c r="I21" s="5">
        <v>7979735523</v>
      </c>
      <c r="J21" s="5" t="s">
        <v>164</v>
      </c>
      <c r="K21" s="5" t="s">
        <v>165</v>
      </c>
      <c r="L21" s="5">
        <v>9570715341</v>
      </c>
      <c r="M21" s="5" t="s">
        <v>166</v>
      </c>
      <c r="N21" s="5" t="s">
        <v>167</v>
      </c>
      <c r="O21" s="5">
        <v>7903508833</v>
      </c>
      <c r="P21" s="6"/>
      <c r="Q21" s="6"/>
      <c r="R21" s="6"/>
    </row>
    <row r="22" spans="1:18" ht="15" thickBot="1">
      <c r="A22" s="4" t="s">
        <v>168</v>
      </c>
      <c r="B22" s="5" t="s">
        <v>77</v>
      </c>
      <c r="C22" s="5" t="s">
        <v>20</v>
      </c>
      <c r="D22" s="5" t="s">
        <v>78</v>
      </c>
      <c r="E22" s="5" t="s">
        <v>79</v>
      </c>
      <c r="F22" s="5">
        <v>7001020075</v>
      </c>
      <c r="G22" s="5" t="s">
        <v>169</v>
      </c>
      <c r="H22" s="5" t="s">
        <v>170</v>
      </c>
      <c r="I22" s="5">
        <v>6000836880</v>
      </c>
      <c r="J22" s="5" t="s">
        <v>171</v>
      </c>
      <c r="K22" s="5" t="s">
        <v>172</v>
      </c>
      <c r="L22" s="5">
        <v>9387469513</v>
      </c>
      <c r="M22" s="5" t="s">
        <v>173</v>
      </c>
      <c r="N22" s="5" t="s">
        <v>174</v>
      </c>
      <c r="O22" s="5">
        <v>8638190824</v>
      </c>
      <c r="P22" s="5" t="s">
        <v>175</v>
      </c>
      <c r="Q22" s="5" t="s">
        <v>176</v>
      </c>
      <c r="R22" s="5">
        <v>9706785585</v>
      </c>
    </row>
    <row r="23" spans="1:18" ht="15" thickBot="1">
      <c r="A23" s="4" t="s">
        <v>177</v>
      </c>
      <c r="B23" s="5" t="s">
        <v>77</v>
      </c>
      <c r="C23" s="5" t="s">
        <v>20</v>
      </c>
      <c r="D23" s="5" t="s">
        <v>78</v>
      </c>
      <c r="E23" s="5" t="s">
        <v>79</v>
      </c>
      <c r="F23" s="5">
        <v>7001020075</v>
      </c>
      <c r="G23" s="5" t="s">
        <v>169</v>
      </c>
      <c r="H23" s="5" t="s">
        <v>170</v>
      </c>
      <c r="I23" s="5">
        <v>6000836880</v>
      </c>
      <c r="J23" s="5" t="s">
        <v>178</v>
      </c>
      <c r="K23" s="5" t="s">
        <v>179</v>
      </c>
      <c r="L23" s="16">
        <v>8486874991</v>
      </c>
      <c r="M23" s="6"/>
      <c r="N23" s="5" t="s">
        <v>180</v>
      </c>
      <c r="O23" s="5">
        <v>8811811385</v>
      </c>
      <c r="P23" s="6"/>
      <c r="Q23" s="6"/>
      <c r="R23" s="6"/>
    </row>
    <row r="24" spans="1:18" ht="15" thickBot="1">
      <c r="A24" s="4" t="s">
        <v>181</v>
      </c>
      <c r="B24" s="5" t="s">
        <v>102</v>
      </c>
      <c r="C24" s="5" t="s">
        <v>20</v>
      </c>
      <c r="D24" s="5" t="s">
        <v>110</v>
      </c>
      <c r="E24" s="5" t="s">
        <v>111</v>
      </c>
      <c r="F24" s="5">
        <v>9582713760</v>
      </c>
      <c r="G24" s="5" t="s">
        <v>140</v>
      </c>
      <c r="H24" s="5" t="s">
        <v>141</v>
      </c>
      <c r="I24" s="5">
        <v>8527384707</v>
      </c>
      <c r="J24" s="5" t="s">
        <v>146</v>
      </c>
      <c r="K24" s="5" t="s">
        <v>182</v>
      </c>
      <c r="L24" s="5">
        <v>7027669312</v>
      </c>
      <c r="M24" s="8" t="s">
        <v>183</v>
      </c>
      <c r="N24" s="14" t="s">
        <v>184</v>
      </c>
      <c r="O24" s="8">
        <v>8059776160</v>
      </c>
      <c r="P24" s="6"/>
      <c r="Q24" s="6"/>
      <c r="R24" s="6"/>
    </row>
    <row r="25" spans="1:18" ht="15" thickBot="1">
      <c r="A25" s="10" t="s">
        <v>186</v>
      </c>
      <c r="B25" s="11" t="s">
        <v>77</v>
      </c>
      <c r="C25" s="11" t="s">
        <v>67</v>
      </c>
      <c r="D25" s="11" t="s">
        <v>78</v>
      </c>
      <c r="E25" s="11" t="s">
        <v>79</v>
      </c>
      <c r="F25" s="11">
        <v>7001020075</v>
      </c>
      <c r="G25" s="11" t="s">
        <v>187</v>
      </c>
      <c r="H25" s="11" t="s">
        <v>188</v>
      </c>
      <c r="I25" s="11">
        <v>7001483429</v>
      </c>
      <c r="J25" s="11" t="s">
        <v>189</v>
      </c>
      <c r="K25" s="11" t="s">
        <v>190</v>
      </c>
      <c r="L25" s="11">
        <v>6294745548</v>
      </c>
      <c r="M25" s="11" t="s">
        <v>191</v>
      </c>
      <c r="N25" s="11" t="s">
        <v>192</v>
      </c>
      <c r="O25" s="11" t="s">
        <v>193</v>
      </c>
      <c r="P25" s="13"/>
      <c r="Q25" s="13"/>
      <c r="R25" s="13"/>
    </row>
    <row r="26" spans="1:18" ht="15" thickBot="1">
      <c r="A26" s="10" t="s">
        <v>194</v>
      </c>
      <c r="B26" s="11" t="s">
        <v>30</v>
      </c>
      <c r="C26" s="11" t="s">
        <v>67</v>
      </c>
      <c r="D26" s="11" t="s">
        <v>31</v>
      </c>
      <c r="E26" s="11" t="s">
        <v>32</v>
      </c>
      <c r="F26" s="11" t="s">
        <v>33</v>
      </c>
      <c r="G26" s="11" t="s">
        <v>195</v>
      </c>
      <c r="H26" s="11" t="s">
        <v>196</v>
      </c>
      <c r="I26" s="11">
        <v>8550010045</v>
      </c>
      <c r="J26" s="12" t="s">
        <v>197</v>
      </c>
      <c r="K26" s="11" t="s">
        <v>198</v>
      </c>
      <c r="L26" s="11">
        <v>7981426204</v>
      </c>
      <c r="M26" s="11" t="s">
        <v>199</v>
      </c>
      <c r="N26" s="11" t="s">
        <v>200</v>
      </c>
      <c r="O26" s="11">
        <v>9966153878</v>
      </c>
      <c r="P26" s="13"/>
      <c r="Q26" s="13"/>
      <c r="R26" s="13"/>
    </row>
    <row r="27" spans="1:18" ht="15" thickBot="1">
      <c r="A27" s="4" t="s">
        <v>201</v>
      </c>
      <c r="B27" s="5" t="s">
        <v>19</v>
      </c>
      <c r="C27" s="5" t="s">
        <v>20</v>
      </c>
      <c r="D27" s="5" t="s">
        <v>49</v>
      </c>
      <c r="E27" s="5" t="s">
        <v>50</v>
      </c>
      <c r="F27" s="5">
        <v>9004551388</v>
      </c>
      <c r="G27" s="5" t="s">
        <v>68</v>
      </c>
      <c r="H27" s="5" t="s">
        <v>69</v>
      </c>
      <c r="I27" s="5">
        <v>7024477807</v>
      </c>
      <c r="J27" s="5" t="s">
        <v>202</v>
      </c>
      <c r="K27" s="5" t="s">
        <v>203</v>
      </c>
      <c r="L27" s="5">
        <v>7378792307</v>
      </c>
      <c r="M27" s="5" t="s">
        <v>204</v>
      </c>
      <c r="N27" s="5" t="s">
        <v>205</v>
      </c>
      <c r="O27" s="5">
        <v>7999541157</v>
      </c>
      <c r="P27" s="5" t="s">
        <v>206</v>
      </c>
      <c r="Q27" s="5" t="s">
        <v>207</v>
      </c>
      <c r="R27" s="5">
        <v>8319900868</v>
      </c>
    </row>
    <row r="28" spans="1:18" ht="15" thickBot="1">
      <c r="A28" s="10" t="s">
        <v>208</v>
      </c>
      <c r="B28" s="11" t="s">
        <v>19</v>
      </c>
      <c r="C28" s="11" t="s">
        <v>67</v>
      </c>
      <c r="D28" s="11" t="s">
        <v>49</v>
      </c>
      <c r="E28" s="11" t="s">
        <v>50</v>
      </c>
      <c r="F28" s="11">
        <v>9004551388</v>
      </c>
      <c r="G28" s="11" t="s">
        <v>209</v>
      </c>
      <c r="H28" s="11" t="s">
        <v>210</v>
      </c>
      <c r="I28" s="11">
        <v>9413978081</v>
      </c>
      <c r="J28" s="11" t="s">
        <v>211</v>
      </c>
      <c r="K28" s="11" t="s">
        <v>212</v>
      </c>
      <c r="L28" s="11">
        <v>8192051386</v>
      </c>
      <c r="M28" s="11" t="s">
        <v>213</v>
      </c>
      <c r="N28" s="11" t="s">
        <v>214</v>
      </c>
      <c r="O28" s="11">
        <v>9650365405</v>
      </c>
      <c r="P28" s="13"/>
      <c r="Q28" s="13"/>
      <c r="R28" s="13"/>
    </row>
    <row r="29" spans="1:18" ht="15" thickBot="1">
      <c r="A29" s="4" t="s">
        <v>215</v>
      </c>
      <c r="B29" s="5" t="s">
        <v>19</v>
      </c>
      <c r="C29" s="5" t="s">
        <v>20</v>
      </c>
      <c r="D29" s="5" t="s">
        <v>49</v>
      </c>
      <c r="E29" s="5" t="s">
        <v>50</v>
      </c>
      <c r="F29" s="5">
        <v>9004551388</v>
      </c>
      <c r="G29" s="5" t="s">
        <v>209</v>
      </c>
      <c r="H29" s="5" t="s">
        <v>210</v>
      </c>
      <c r="I29" s="5">
        <v>9413978081</v>
      </c>
      <c r="J29" s="5" t="s">
        <v>216</v>
      </c>
      <c r="K29" s="5" t="s">
        <v>217</v>
      </c>
      <c r="L29" s="5">
        <v>6352662236</v>
      </c>
      <c r="M29" s="5" t="s">
        <v>218</v>
      </c>
      <c r="N29" s="5" t="s">
        <v>219</v>
      </c>
      <c r="O29" s="5">
        <v>8107269797</v>
      </c>
      <c r="P29" s="6"/>
      <c r="Q29" s="6"/>
      <c r="R29" s="6"/>
    </row>
    <row r="30" spans="1:18" ht="15" thickBot="1">
      <c r="A30" s="4" t="s">
        <v>220</v>
      </c>
      <c r="B30" s="5" t="s">
        <v>19</v>
      </c>
      <c r="C30" s="5" t="s">
        <v>20</v>
      </c>
      <c r="D30" s="5" t="s">
        <v>49</v>
      </c>
      <c r="E30" s="5" t="s">
        <v>50</v>
      </c>
      <c r="F30" s="5">
        <v>9004551388</v>
      </c>
      <c r="G30" s="5" t="s">
        <v>221</v>
      </c>
      <c r="H30" s="5" t="s">
        <v>222</v>
      </c>
      <c r="I30" s="5">
        <v>8826836418</v>
      </c>
      <c r="J30" s="5" t="s">
        <v>223</v>
      </c>
      <c r="K30" s="5" t="s">
        <v>224</v>
      </c>
      <c r="L30" s="5">
        <v>9358389188</v>
      </c>
      <c r="M30" s="5" t="s">
        <v>225</v>
      </c>
      <c r="N30" s="5" t="s">
        <v>226</v>
      </c>
      <c r="O30" s="5">
        <v>9119295841</v>
      </c>
      <c r="P30" s="6"/>
      <c r="Q30" s="6"/>
      <c r="R30" s="6"/>
    </row>
    <row r="31" spans="1:18" ht="15" thickBot="1">
      <c r="A31" s="10" t="s">
        <v>227</v>
      </c>
      <c r="B31" s="11" t="s">
        <v>19</v>
      </c>
      <c r="C31" s="11" t="s">
        <v>67</v>
      </c>
      <c r="D31" s="11" t="s">
        <v>49</v>
      </c>
      <c r="E31" s="11" t="s">
        <v>50</v>
      </c>
      <c r="F31" s="11">
        <v>9004551388</v>
      </c>
      <c r="G31" s="11" t="s">
        <v>209</v>
      </c>
      <c r="H31" s="11" t="s">
        <v>210</v>
      </c>
      <c r="I31" s="11">
        <v>9413978081</v>
      </c>
      <c r="J31" s="13"/>
      <c r="K31" s="13"/>
      <c r="L31" s="13"/>
      <c r="M31" s="13"/>
      <c r="N31" s="13"/>
      <c r="O31" s="13"/>
      <c r="P31" s="13"/>
      <c r="Q31" s="13"/>
      <c r="R31" s="13"/>
    </row>
    <row r="32" spans="1:18" ht="15" thickBot="1">
      <c r="A32" s="4" t="s">
        <v>228</v>
      </c>
      <c r="B32" s="5" t="s">
        <v>19</v>
      </c>
      <c r="C32" s="5" t="s">
        <v>20</v>
      </c>
      <c r="D32" s="5" t="s">
        <v>49</v>
      </c>
      <c r="E32" s="5" t="s">
        <v>50</v>
      </c>
      <c r="F32" s="5">
        <v>9004551388</v>
      </c>
      <c r="G32" s="5" t="s">
        <v>209</v>
      </c>
      <c r="H32" s="5" t="s">
        <v>210</v>
      </c>
      <c r="I32" s="5">
        <v>9413978081</v>
      </c>
      <c r="J32" s="5" t="s">
        <v>229</v>
      </c>
      <c r="K32" s="5" t="s">
        <v>230</v>
      </c>
      <c r="L32" s="5">
        <v>8952933305</v>
      </c>
      <c r="M32" s="17" t="s">
        <v>231</v>
      </c>
      <c r="N32" s="5" t="s">
        <v>232</v>
      </c>
      <c r="O32" s="18">
        <v>9318344671</v>
      </c>
      <c r="P32" s="6"/>
      <c r="Q32" s="6"/>
      <c r="R32" s="6"/>
    </row>
    <row r="33" spans="1:18" ht="15" thickBot="1">
      <c r="A33" s="4" t="s">
        <v>233</v>
      </c>
      <c r="B33" s="5" t="s">
        <v>102</v>
      </c>
      <c r="C33" s="5" t="s">
        <v>20</v>
      </c>
      <c r="D33" s="5" t="s">
        <v>234</v>
      </c>
      <c r="E33" s="5" t="s">
        <v>235</v>
      </c>
      <c r="F33" s="5">
        <v>8591391390</v>
      </c>
      <c r="G33" s="5" t="s">
        <v>236</v>
      </c>
      <c r="H33" s="5" t="s">
        <v>237</v>
      </c>
      <c r="I33" s="5">
        <v>6393102570</v>
      </c>
      <c r="J33" s="5" t="s">
        <v>238</v>
      </c>
      <c r="K33" s="5" t="s">
        <v>239</v>
      </c>
      <c r="L33" s="5">
        <v>8400863508</v>
      </c>
      <c r="M33" s="5" t="s">
        <v>240</v>
      </c>
      <c r="N33" s="5" t="s">
        <v>241</v>
      </c>
      <c r="O33" s="5">
        <v>9696055700</v>
      </c>
      <c r="P33" s="6"/>
      <c r="Q33" s="6"/>
      <c r="R33" s="6"/>
    </row>
    <row r="34" spans="1:18" ht="15" thickBot="1">
      <c r="A34" s="10" t="s">
        <v>242</v>
      </c>
      <c r="B34" s="11" t="s">
        <v>30</v>
      </c>
      <c r="C34" s="11" t="s">
        <v>67</v>
      </c>
      <c r="D34" s="11" t="s">
        <v>31</v>
      </c>
      <c r="E34" s="11" t="s">
        <v>32</v>
      </c>
      <c r="F34" s="11" t="s">
        <v>33</v>
      </c>
      <c r="G34" s="11" t="s">
        <v>243</v>
      </c>
      <c r="H34" s="11" t="s">
        <v>244</v>
      </c>
      <c r="I34" s="11">
        <v>8129603774</v>
      </c>
      <c r="J34" s="13"/>
      <c r="K34" s="13"/>
      <c r="L34" s="13"/>
      <c r="M34" s="13"/>
      <c r="N34" s="13"/>
      <c r="O34" s="13"/>
      <c r="P34" s="13"/>
      <c r="Q34" s="13"/>
      <c r="R34" s="13"/>
    </row>
    <row r="35" spans="1:18" ht="15" thickBot="1">
      <c r="A35" s="4" t="s">
        <v>245</v>
      </c>
      <c r="B35" s="5" t="s">
        <v>77</v>
      </c>
      <c r="C35" s="5" t="s">
        <v>20</v>
      </c>
      <c r="D35" s="5" t="s">
        <v>78</v>
      </c>
      <c r="E35" s="5" t="s">
        <v>79</v>
      </c>
      <c r="F35" s="5">
        <v>7001020075</v>
      </c>
      <c r="G35" s="5" t="s">
        <v>187</v>
      </c>
      <c r="H35" s="5" t="s">
        <v>188</v>
      </c>
      <c r="I35" s="5">
        <v>7001483429</v>
      </c>
      <c r="J35" s="5" t="s">
        <v>246</v>
      </c>
      <c r="K35" s="5" t="s">
        <v>247</v>
      </c>
      <c r="L35" s="5">
        <v>8910122638</v>
      </c>
      <c r="M35" s="5" t="s">
        <v>248</v>
      </c>
      <c r="N35" s="5" t="s">
        <v>249</v>
      </c>
      <c r="O35" s="5" t="s">
        <v>250</v>
      </c>
      <c r="P35" s="5" t="s">
        <v>251</v>
      </c>
      <c r="Q35" s="5" t="s">
        <v>252</v>
      </c>
      <c r="R35" s="5">
        <v>8777826460</v>
      </c>
    </row>
    <row r="36" spans="1:18" ht="15" thickBot="1">
      <c r="A36" s="10" t="s">
        <v>253</v>
      </c>
      <c r="B36" s="11" t="s">
        <v>102</v>
      </c>
      <c r="C36" s="11" t="s">
        <v>67</v>
      </c>
      <c r="D36" s="11" t="s">
        <v>234</v>
      </c>
      <c r="E36" s="11" t="s">
        <v>235</v>
      </c>
      <c r="F36" s="11">
        <v>8591391390</v>
      </c>
      <c r="G36" s="11" t="s">
        <v>236</v>
      </c>
      <c r="H36" s="11" t="s">
        <v>237</v>
      </c>
      <c r="I36" s="11">
        <v>6393102570</v>
      </c>
      <c r="J36" s="11" t="s">
        <v>254</v>
      </c>
      <c r="K36" s="11" t="s">
        <v>255</v>
      </c>
      <c r="L36" s="11">
        <v>8922876280</v>
      </c>
      <c r="M36" s="11" t="s">
        <v>256</v>
      </c>
      <c r="N36" s="11" t="s">
        <v>257</v>
      </c>
      <c r="O36" s="11">
        <v>8574176858</v>
      </c>
      <c r="P36" s="13"/>
      <c r="Q36" s="13"/>
      <c r="R36" s="13"/>
    </row>
    <row r="37" spans="1:18" ht="15" thickBot="1">
      <c r="A37" s="4" t="s">
        <v>258</v>
      </c>
      <c r="B37" s="5" t="s">
        <v>102</v>
      </c>
      <c r="C37" s="5" t="s">
        <v>20</v>
      </c>
      <c r="D37" s="5" t="s">
        <v>234</v>
      </c>
      <c r="E37" s="5" t="s">
        <v>235</v>
      </c>
      <c r="F37" s="5">
        <v>8591391390</v>
      </c>
      <c r="G37" s="5" t="s">
        <v>236</v>
      </c>
      <c r="H37" s="5" t="s">
        <v>237</v>
      </c>
      <c r="I37" s="5">
        <v>6393102570</v>
      </c>
      <c r="J37" s="5" t="s">
        <v>259</v>
      </c>
      <c r="K37" s="5" t="s">
        <v>260</v>
      </c>
      <c r="L37" s="5">
        <v>8090632265</v>
      </c>
      <c r="M37" s="5" t="s">
        <v>261</v>
      </c>
      <c r="N37" s="5" t="s">
        <v>262</v>
      </c>
      <c r="O37" s="5">
        <v>7311120913</v>
      </c>
      <c r="P37" s="6"/>
      <c r="Q37" s="6"/>
      <c r="R37" s="6"/>
    </row>
    <row r="38" spans="1:18" ht="15" thickBot="1">
      <c r="A38" s="10" t="s">
        <v>263</v>
      </c>
      <c r="B38" s="11" t="s">
        <v>102</v>
      </c>
      <c r="C38" s="11" t="s">
        <v>67</v>
      </c>
      <c r="D38" s="11" t="s">
        <v>234</v>
      </c>
      <c r="E38" s="11" t="s">
        <v>235</v>
      </c>
      <c r="F38" s="11">
        <v>8591391390</v>
      </c>
      <c r="G38" s="11" t="s">
        <v>264</v>
      </c>
      <c r="H38" s="11" t="s">
        <v>265</v>
      </c>
      <c r="I38" s="11">
        <v>9888665095</v>
      </c>
      <c r="J38" s="11" t="s">
        <v>266</v>
      </c>
      <c r="K38" s="11" t="s">
        <v>267</v>
      </c>
      <c r="L38" s="11">
        <v>8847290992</v>
      </c>
      <c r="M38" s="11" t="s">
        <v>268</v>
      </c>
      <c r="N38" s="11" t="s">
        <v>269</v>
      </c>
      <c r="O38" s="11" t="s">
        <v>270</v>
      </c>
      <c r="P38" s="13"/>
      <c r="Q38" s="13"/>
      <c r="R38" s="13"/>
    </row>
    <row r="39" spans="1:18" ht="15" thickBot="1">
      <c r="A39" s="4" t="s">
        <v>271</v>
      </c>
      <c r="B39" s="5" t="s">
        <v>102</v>
      </c>
      <c r="C39" s="5" t="s">
        <v>20</v>
      </c>
      <c r="D39" s="5" t="s">
        <v>234</v>
      </c>
      <c r="E39" s="5" t="s">
        <v>235</v>
      </c>
      <c r="F39" s="5">
        <v>8591391390</v>
      </c>
      <c r="G39" s="5" t="s">
        <v>264</v>
      </c>
      <c r="H39" s="5" t="s">
        <v>265</v>
      </c>
      <c r="I39" s="5">
        <v>9888665095</v>
      </c>
      <c r="J39" s="5" t="s">
        <v>268</v>
      </c>
      <c r="K39" s="5" t="s">
        <v>269</v>
      </c>
      <c r="L39" s="5" t="s">
        <v>270</v>
      </c>
      <c r="M39" s="5" t="s">
        <v>272</v>
      </c>
      <c r="N39" s="5" t="s">
        <v>273</v>
      </c>
      <c r="O39" s="5">
        <v>9872875565</v>
      </c>
      <c r="P39" s="6"/>
      <c r="Q39" s="6"/>
      <c r="R39" s="6"/>
    </row>
    <row r="40" spans="1:18" ht="15" thickBot="1">
      <c r="A40" s="4" t="s">
        <v>274</v>
      </c>
      <c r="B40" s="5" t="s">
        <v>102</v>
      </c>
      <c r="C40" s="5" t="s">
        <v>20</v>
      </c>
      <c r="D40" s="5" t="s">
        <v>103</v>
      </c>
      <c r="E40" s="5" t="s">
        <v>104</v>
      </c>
      <c r="F40" s="5">
        <v>8097928258</v>
      </c>
      <c r="G40" s="5" t="s">
        <v>275</v>
      </c>
      <c r="H40" s="5" t="s">
        <v>276</v>
      </c>
      <c r="I40" s="5">
        <v>9999182731</v>
      </c>
      <c r="J40" s="5" t="s">
        <v>277</v>
      </c>
      <c r="K40" s="5" t="s">
        <v>278</v>
      </c>
      <c r="L40" s="5">
        <v>8708294939</v>
      </c>
      <c r="M40" s="5" t="s">
        <v>279</v>
      </c>
      <c r="N40" s="5" t="s">
        <v>280</v>
      </c>
      <c r="O40" s="5">
        <v>9888665095</v>
      </c>
      <c r="P40" s="6"/>
      <c r="Q40" s="6"/>
      <c r="R40" s="6"/>
    </row>
    <row r="41" spans="1:18" ht="15" thickBot="1">
      <c r="A41" s="4" t="s">
        <v>281</v>
      </c>
      <c r="B41" s="5" t="s">
        <v>19</v>
      </c>
      <c r="C41" s="5" t="s">
        <v>20</v>
      </c>
      <c r="D41" s="5" t="s">
        <v>49</v>
      </c>
      <c r="E41" s="5" t="s">
        <v>50</v>
      </c>
      <c r="F41" s="5">
        <v>9004551388</v>
      </c>
      <c r="G41" s="5" t="s">
        <v>282</v>
      </c>
      <c r="H41" s="5" t="s">
        <v>283</v>
      </c>
      <c r="I41" s="5" t="s">
        <v>284</v>
      </c>
      <c r="J41" s="5" t="s">
        <v>285</v>
      </c>
      <c r="K41" s="5" t="s">
        <v>286</v>
      </c>
      <c r="L41" s="5" t="s">
        <v>287</v>
      </c>
      <c r="M41" s="5" t="s">
        <v>288</v>
      </c>
      <c r="N41" s="5" t="s">
        <v>289</v>
      </c>
      <c r="O41" s="5">
        <v>8329814688</v>
      </c>
      <c r="P41" s="5" t="s">
        <v>290</v>
      </c>
      <c r="Q41" s="5" t="s">
        <v>291</v>
      </c>
      <c r="R41" s="5">
        <v>9527375893</v>
      </c>
    </row>
    <row r="42" spans="1:18" ht="15" thickBot="1">
      <c r="A42" s="4" t="s">
        <v>292</v>
      </c>
      <c r="B42" s="5" t="s">
        <v>77</v>
      </c>
      <c r="C42" s="5" t="s">
        <v>20</v>
      </c>
      <c r="D42" s="5" t="s">
        <v>78</v>
      </c>
      <c r="E42" s="5" t="s">
        <v>79</v>
      </c>
      <c r="F42" s="5">
        <v>7001020075</v>
      </c>
      <c r="G42" s="5" t="s">
        <v>293</v>
      </c>
      <c r="H42" s="5" t="s">
        <v>294</v>
      </c>
      <c r="I42" s="5">
        <v>7992351620</v>
      </c>
      <c r="J42" s="5" t="s">
        <v>295</v>
      </c>
      <c r="K42" s="5" t="s">
        <v>296</v>
      </c>
      <c r="L42" s="5">
        <v>9709250151</v>
      </c>
      <c r="M42" s="5" t="s">
        <v>297</v>
      </c>
      <c r="N42" s="19" t="s">
        <v>298</v>
      </c>
      <c r="O42" s="5">
        <v>9798676855</v>
      </c>
      <c r="P42" s="5" t="s">
        <v>299</v>
      </c>
      <c r="Q42" s="5" t="s">
        <v>300</v>
      </c>
      <c r="R42" s="5">
        <v>8840618252</v>
      </c>
    </row>
    <row r="43" spans="1:18" ht="15" thickBot="1">
      <c r="A43" s="10" t="s">
        <v>301</v>
      </c>
      <c r="B43" s="11" t="s">
        <v>19</v>
      </c>
      <c r="C43" s="11" t="s">
        <v>67</v>
      </c>
      <c r="D43" s="11" t="s">
        <v>49</v>
      </c>
      <c r="E43" s="11" t="s">
        <v>50</v>
      </c>
      <c r="F43" s="11">
        <v>9004551388</v>
      </c>
      <c r="G43" s="11" t="s">
        <v>302</v>
      </c>
      <c r="H43" s="11" t="s">
        <v>303</v>
      </c>
      <c r="I43" s="11">
        <v>8806659691</v>
      </c>
      <c r="J43" s="13"/>
      <c r="K43" s="13"/>
      <c r="L43" s="13"/>
      <c r="M43" s="13"/>
      <c r="N43" s="13"/>
      <c r="O43" s="13"/>
      <c r="P43" s="13"/>
      <c r="Q43" s="13"/>
      <c r="R43" s="13"/>
    </row>
    <row r="44" spans="1:18" ht="15" thickBot="1">
      <c r="A44" s="10" t="s">
        <v>304</v>
      </c>
      <c r="B44" s="11" t="s">
        <v>19</v>
      </c>
      <c r="C44" s="11" t="s">
        <v>67</v>
      </c>
      <c r="D44" s="11" t="s">
        <v>49</v>
      </c>
      <c r="E44" s="11" t="s">
        <v>50</v>
      </c>
      <c r="F44" s="11">
        <v>9004551388</v>
      </c>
      <c r="G44" s="11" t="s">
        <v>305</v>
      </c>
      <c r="H44" s="11" t="s">
        <v>283</v>
      </c>
      <c r="I44" s="11" t="s">
        <v>284</v>
      </c>
      <c r="J44" s="11" t="s">
        <v>285</v>
      </c>
      <c r="K44" s="11" t="s">
        <v>286</v>
      </c>
      <c r="L44" s="11">
        <v>7020038407</v>
      </c>
      <c r="M44" s="11" t="s">
        <v>306</v>
      </c>
      <c r="N44" s="11" t="s">
        <v>307</v>
      </c>
      <c r="O44" s="11">
        <v>7875979020</v>
      </c>
      <c r="P44" s="13"/>
      <c r="Q44" s="13"/>
      <c r="R44" s="13"/>
    </row>
    <row r="45" spans="1:18" ht="15" thickBot="1">
      <c r="A45" s="4" t="s">
        <v>308</v>
      </c>
      <c r="B45" s="5" t="s">
        <v>19</v>
      </c>
      <c r="C45" s="5" t="s">
        <v>20</v>
      </c>
      <c r="D45" s="5" t="s">
        <v>21</v>
      </c>
      <c r="E45" s="5" t="s">
        <v>22</v>
      </c>
      <c r="F45" s="5">
        <v>8007696417</v>
      </c>
      <c r="G45" s="5" t="s">
        <v>309</v>
      </c>
      <c r="H45" s="5" t="s">
        <v>310</v>
      </c>
      <c r="I45" s="5">
        <v>7028402715</v>
      </c>
      <c r="J45" s="5" t="s">
        <v>311</v>
      </c>
      <c r="K45" s="5" t="s">
        <v>312</v>
      </c>
      <c r="L45" s="5">
        <v>9243766994</v>
      </c>
      <c r="M45" s="5" t="s">
        <v>313</v>
      </c>
      <c r="N45" s="5" t="s">
        <v>314</v>
      </c>
      <c r="O45" s="8">
        <v>8626930962</v>
      </c>
      <c r="P45" s="6"/>
      <c r="Q45" s="6"/>
      <c r="R45" s="6"/>
    </row>
    <row r="46" spans="1:18" ht="15" thickBot="1">
      <c r="A46" s="4" t="s">
        <v>315</v>
      </c>
      <c r="B46" s="5" t="s">
        <v>77</v>
      </c>
      <c r="C46" s="5" t="s">
        <v>20</v>
      </c>
      <c r="D46" s="5" t="s">
        <v>78</v>
      </c>
      <c r="E46" s="5" t="s">
        <v>79</v>
      </c>
      <c r="F46" s="5">
        <v>7001020075</v>
      </c>
      <c r="G46" s="5" t="s">
        <v>162</v>
      </c>
      <c r="H46" s="5" t="s">
        <v>163</v>
      </c>
      <c r="I46" s="5">
        <v>7979735523</v>
      </c>
      <c r="J46" s="5" t="s">
        <v>316</v>
      </c>
      <c r="K46" s="5" t="s">
        <v>317</v>
      </c>
      <c r="L46" s="5">
        <v>7004987908</v>
      </c>
      <c r="M46" s="5" t="s">
        <v>318</v>
      </c>
      <c r="N46" s="5" t="s">
        <v>319</v>
      </c>
      <c r="O46" s="5" t="s">
        <v>320</v>
      </c>
      <c r="P46" s="6"/>
      <c r="Q46" s="6"/>
      <c r="R46" s="6"/>
    </row>
    <row r="47" spans="1:18" ht="15" thickBot="1">
      <c r="A47" s="4" t="s">
        <v>321</v>
      </c>
      <c r="B47" s="5" t="s">
        <v>77</v>
      </c>
      <c r="C47" s="5" t="s">
        <v>20</v>
      </c>
      <c r="D47" s="5" t="s">
        <v>78</v>
      </c>
      <c r="E47" s="5" t="s">
        <v>79</v>
      </c>
      <c r="F47" s="5">
        <v>7001020075</v>
      </c>
      <c r="G47" s="5" t="s">
        <v>169</v>
      </c>
      <c r="H47" s="5" t="s">
        <v>170</v>
      </c>
      <c r="I47" s="5">
        <v>6000836880</v>
      </c>
      <c r="J47" s="5" t="s">
        <v>322</v>
      </c>
      <c r="K47" s="5" t="s">
        <v>323</v>
      </c>
      <c r="L47" s="5">
        <v>8415860928</v>
      </c>
      <c r="M47" s="5" t="s">
        <v>324</v>
      </c>
      <c r="N47" s="5" t="s">
        <v>325</v>
      </c>
      <c r="O47" s="5">
        <v>7035845116</v>
      </c>
      <c r="P47" s="5" t="s">
        <v>326</v>
      </c>
      <c r="Q47" s="5" t="s">
        <v>327</v>
      </c>
      <c r="R47" s="5">
        <v>7002141897</v>
      </c>
    </row>
    <row r="48" spans="1:18" ht="15" thickBot="1">
      <c r="A48" s="4" t="s">
        <v>328</v>
      </c>
      <c r="B48" s="5" t="s">
        <v>77</v>
      </c>
      <c r="C48" s="5" t="s">
        <v>20</v>
      </c>
      <c r="D48" s="5" t="s">
        <v>78</v>
      </c>
      <c r="E48" s="5" t="s">
        <v>79</v>
      </c>
      <c r="F48" s="5">
        <v>7001020075</v>
      </c>
      <c r="G48" s="5" t="s">
        <v>169</v>
      </c>
      <c r="H48" s="5" t="s">
        <v>170</v>
      </c>
      <c r="I48" s="5">
        <v>6000836880</v>
      </c>
      <c r="J48" s="5" t="s">
        <v>329</v>
      </c>
      <c r="K48" s="5" t="s">
        <v>330</v>
      </c>
      <c r="L48" s="5">
        <v>7002876911</v>
      </c>
      <c r="M48" s="5" t="s">
        <v>331</v>
      </c>
      <c r="N48" s="5" t="s">
        <v>332</v>
      </c>
      <c r="O48" s="5">
        <v>7002340731</v>
      </c>
      <c r="P48" s="6"/>
      <c r="Q48" s="6"/>
      <c r="R48" s="6"/>
    </row>
    <row r="49" spans="1:18" ht="15" thickBot="1">
      <c r="A49" s="4" t="s">
        <v>333</v>
      </c>
      <c r="B49" s="5" t="s">
        <v>77</v>
      </c>
      <c r="C49" s="5" t="s">
        <v>20</v>
      </c>
      <c r="D49" s="5" t="s">
        <v>78</v>
      </c>
      <c r="E49" s="5" t="s">
        <v>79</v>
      </c>
      <c r="F49" s="5">
        <v>7001020075</v>
      </c>
      <c r="G49" s="5" t="s">
        <v>334</v>
      </c>
      <c r="H49" s="5" t="s">
        <v>335</v>
      </c>
      <c r="I49" s="5">
        <v>9303626268</v>
      </c>
      <c r="J49" s="5" t="s">
        <v>336</v>
      </c>
      <c r="K49" s="5" t="s">
        <v>337</v>
      </c>
      <c r="L49" s="5">
        <v>7031340486</v>
      </c>
      <c r="M49" s="5" t="s">
        <v>338</v>
      </c>
      <c r="N49" s="5" t="s">
        <v>339</v>
      </c>
      <c r="O49" s="5">
        <v>8678885974</v>
      </c>
      <c r="P49" s="5" t="s">
        <v>340</v>
      </c>
      <c r="Q49" s="5" t="s">
        <v>341</v>
      </c>
      <c r="R49" s="5">
        <v>6289797052</v>
      </c>
    </row>
    <row r="50" spans="1:18" ht="15" thickBot="1">
      <c r="A50" s="4" t="s">
        <v>342</v>
      </c>
      <c r="B50" s="5" t="s">
        <v>102</v>
      </c>
      <c r="C50" s="5" t="s">
        <v>20</v>
      </c>
      <c r="D50" s="5" t="s">
        <v>110</v>
      </c>
      <c r="E50" s="5" t="s">
        <v>111</v>
      </c>
      <c r="F50" s="5">
        <v>9582713760</v>
      </c>
      <c r="G50" s="5" t="s">
        <v>343</v>
      </c>
      <c r="H50" s="5" t="s">
        <v>344</v>
      </c>
      <c r="I50" s="5">
        <v>9027246940</v>
      </c>
      <c r="J50" s="5" t="s">
        <v>345</v>
      </c>
      <c r="K50" s="5" t="s">
        <v>346</v>
      </c>
      <c r="L50" s="5">
        <v>8285808090</v>
      </c>
      <c r="M50" s="5" t="s">
        <v>347</v>
      </c>
      <c r="N50" s="5" t="s">
        <v>348</v>
      </c>
      <c r="O50" s="5">
        <v>9315681948</v>
      </c>
      <c r="P50" s="6"/>
      <c r="Q50" s="6"/>
      <c r="R50" s="6"/>
    </row>
    <row r="51" spans="1:18" ht="15" thickBot="1">
      <c r="A51" s="4" t="s">
        <v>349</v>
      </c>
      <c r="B51" s="5" t="s">
        <v>19</v>
      </c>
      <c r="C51" s="5" t="s">
        <v>20</v>
      </c>
      <c r="D51" s="5" t="s">
        <v>21</v>
      </c>
      <c r="E51" s="5" t="s">
        <v>22</v>
      </c>
      <c r="F51" s="5">
        <v>8007696417</v>
      </c>
      <c r="G51" s="5" t="s">
        <v>350</v>
      </c>
      <c r="H51" s="5" t="s">
        <v>351</v>
      </c>
      <c r="I51" s="5">
        <v>7698837388</v>
      </c>
      <c r="J51" s="5" t="s">
        <v>352</v>
      </c>
      <c r="K51" s="5" t="s">
        <v>353</v>
      </c>
      <c r="L51" s="5">
        <v>8426846828</v>
      </c>
      <c r="M51" s="5" t="s">
        <v>354</v>
      </c>
      <c r="N51" s="5" t="s">
        <v>355</v>
      </c>
      <c r="O51" s="5">
        <v>9512281207</v>
      </c>
      <c r="P51" s="6"/>
      <c r="Q51" s="6"/>
      <c r="R51" s="6"/>
    </row>
    <row r="52" spans="1:18" ht="15" thickBot="1">
      <c r="A52" s="4" t="s">
        <v>356</v>
      </c>
      <c r="B52" s="5" t="s">
        <v>19</v>
      </c>
      <c r="C52" s="5" t="s">
        <v>20</v>
      </c>
      <c r="D52" s="5" t="s">
        <v>21</v>
      </c>
      <c r="E52" s="5" t="s">
        <v>22</v>
      </c>
      <c r="F52" s="5">
        <v>8007696417</v>
      </c>
      <c r="G52" s="5" t="s">
        <v>357</v>
      </c>
      <c r="H52" s="5" t="s">
        <v>358</v>
      </c>
      <c r="I52" s="5">
        <v>8930909315</v>
      </c>
      <c r="J52" s="5" t="s">
        <v>359</v>
      </c>
      <c r="K52" s="5" t="s">
        <v>360</v>
      </c>
      <c r="L52" s="5">
        <v>8690056113</v>
      </c>
      <c r="M52" s="5" t="s">
        <v>361</v>
      </c>
      <c r="N52" s="5" t="s">
        <v>362</v>
      </c>
      <c r="O52" s="5">
        <v>6351502235</v>
      </c>
      <c r="P52" s="6"/>
      <c r="Q52" s="6"/>
      <c r="R52" s="6"/>
    </row>
    <row r="53" spans="1:18" ht="15" thickBot="1">
      <c r="A53" s="4" t="s">
        <v>363</v>
      </c>
      <c r="B53" s="5" t="s">
        <v>19</v>
      </c>
      <c r="C53" s="5" t="s">
        <v>20</v>
      </c>
      <c r="D53" s="5" t="s">
        <v>21</v>
      </c>
      <c r="E53" s="5" t="s">
        <v>22</v>
      </c>
      <c r="F53" s="5">
        <v>8007696417</v>
      </c>
      <c r="G53" s="5" t="s">
        <v>350</v>
      </c>
      <c r="H53" s="5" t="s">
        <v>351</v>
      </c>
      <c r="I53" s="5">
        <v>7698837388</v>
      </c>
      <c r="J53" s="5" t="s">
        <v>354</v>
      </c>
      <c r="K53" s="5" t="s">
        <v>355</v>
      </c>
      <c r="L53" s="5">
        <v>9512281207</v>
      </c>
      <c r="M53" s="5" t="s">
        <v>352</v>
      </c>
      <c r="N53" s="5" t="s">
        <v>353</v>
      </c>
      <c r="O53" s="5">
        <v>8426846828</v>
      </c>
      <c r="P53" s="6"/>
      <c r="Q53" s="6"/>
      <c r="R53" s="6"/>
    </row>
    <row r="54" spans="1:18" ht="15" thickBot="1">
      <c r="A54" s="4" t="s">
        <v>364</v>
      </c>
      <c r="B54" s="5" t="s">
        <v>19</v>
      </c>
      <c r="C54" s="5" t="s">
        <v>20</v>
      </c>
      <c r="D54" s="5" t="s">
        <v>21</v>
      </c>
      <c r="E54" s="5" t="s">
        <v>22</v>
      </c>
      <c r="F54" s="5">
        <v>8007696417</v>
      </c>
      <c r="G54" s="5" t="s">
        <v>365</v>
      </c>
      <c r="H54" s="5" t="s">
        <v>366</v>
      </c>
      <c r="I54" s="5">
        <v>7016450894</v>
      </c>
      <c r="J54" s="5" t="s">
        <v>367</v>
      </c>
      <c r="K54" s="5" t="s">
        <v>368</v>
      </c>
      <c r="L54" s="5">
        <v>8855915553</v>
      </c>
      <c r="M54" s="5" t="s">
        <v>369</v>
      </c>
      <c r="N54" s="5" t="s">
        <v>370</v>
      </c>
      <c r="O54" s="5">
        <v>9725104037</v>
      </c>
      <c r="P54" s="6"/>
      <c r="Q54" s="6"/>
      <c r="R54" s="6"/>
    </row>
    <row r="55" spans="1:18" ht="15" thickBot="1">
      <c r="A55" s="10" t="s">
        <v>371</v>
      </c>
      <c r="B55" s="11" t="s">
        <v>19</v>
      </c>
      <c r="C55" s="11" t="s">
        <v>67</v>
      </c>
      <c r="D55" s="11" t="s">
        <v>21</v>
      </c>
      <c r="E55" s="11" t="s">
        <v>22</v>
      </c>
      <c r="F55" s="11">
        <v>8007696417</v>
      </c>
      <c r="G55" s="11" t="s">
        <v>357</v>
      </c>
      <c r="H55" s="11" t="s">
        <v>358</v>
      </c>
      <c r="I55" s="11">
        <v>8930909315</v>
      </c>
      <c r="J55" s="11" t="s">
        <v>372</v>
      </c>
      <c r="K55" s="11" t="s">
        <v>373</v>
      </c>
      <c r="L55" s="11" t="s">
        <v>374</v>
      </c>
      <c r="M55" s="11" t="s">
        <v>375</v>
      </c>
      <c r="N55" s="11" t="s">
        <v>376</v>
      </c>
      <c r="O55" s="11">
        <v>9812502061</v>
      </c>
      <c r="P55" s="13"/>
      <c r="Q55" s="13"/>
      <c r="R55" s="13"/>
    </row>
    <row r="56" spans="1:18" ht="15" thickBot="1">
      <c r="A56" s="4" t="s">
        <v>377</v>
      </c>
      <c r="B56" s="5" t="s">
        <v>19</v>
      </c>
      <c r="C56" s="5" t="s">
        <v>20</v>
      </c>
      <c r="D56" s="5" t="s">
        <v>21</v>
      </c>
      <c r="E56" s="5" t="s">
        <v>22</v>
      </c>
      <c r="F56" s="5">
        <v>8007696417</v>
      </c>
      <c r="G56" s="5" t="s">
        <v>378</v>
      </c>
      <c r="H56" s="5" t="s">
        <v>379</v>
      </c>
      <c r="I56" s="5">
        <v>9099201055</v>
      </c>
      <c r="J56" s="5" t="s">
        <v>380</v>
      </c>
      <c r="K56" s="5" t="s">
        <v>381</v>
      </c>
      <c r="L56" s="5">
        <v>7990365788</v>
      </c>
      <c r="M56" s="5" t="s">
        <v>382</v>
      </c>
      <c r="N56" s="5" t="s">
        <v>383</v>
      </c>
      <c r="O56" s="5">
        <v>9909973188</v>
      </c>
      <c r="P56" s="6"/>
      <c r="Q56" s="6"/>
      <c r="R56" s="6"/>
    </row>
    <row r="57" spans="1:18" ht="15" thickBot="1">
      <c r="A57" s="4" t="s">
        <v>384</v>
      </c>
      <c r="B57" s="5" t="s">
        <v>30</v>
      </c>
      <c r="C57" s="5" t="s">
        <v>20</v>
      </c>
      <c r="D57" s="5" t="s">
        <v>31</v>
      </c>
      <c r="E57" s="5" t="s">
        <v>32</v>
      </c>
      <c r="F57" s="5" t="s">
        <v>33</v>
      </c>
      <c r="G57" s="5" t="s">
        <v>385</v>
      </c>
      <c r="H57" s="5" t="s">
        <v>386</v>
      </c>
      <c r="I57" s="5">
        <v>9133001077</v>
      </c>
      <c r="J57" s="6"/>
      <c r="K57" s="5" t="s">
        <v>387</v>
      </c>
      <c r="L57" s="5" t="s">
        <v>388</v>
      </c>
      <c r="M57" s="5" t="s">
        <v>389</v>
      </c>
      <c r="N57" s="5" t="s">
        <v>390</v>
      </c>
      <c r="O57" s="5">
        <v>8686720525</v>
      </c>
      <c r="P57" s="6"/>
      <c r="Q57" s="6"/>
      <c r="R57" s="6"/>
    </row>
    <row r="58" spans="1:18" ht="15" thickBot="1">
      <c r="A58" s="4" t="s">
        <v>391</v>
      </c>
      <c r="B58" s="5" t="s">
        <v>30</v>
      </c>
      <c r="C58" s="5" t="s">
        <v>20</v>
      </c>
      <c r="D58" s="5" t="s">
        <v>31</v>
      </c>
      <c r="E58" s="5" t="s">
        <v>32</v>
      </c>
      <c r="F58" s="5" t="s">
        <v>33</v>
      </c>
      <c r="G58" s="5" t="s">
        <v>385</v>
      </c>
      <c r="H58" s="5" t="s">
        <v>386</v>
      </c>
      <c r="I58" s="5">
        <v>9133001077</v>
      </c>
      <c r="J58" s="20" t="s">
        <v>392</v>
      </c>
      <c r="K58" s="5" t="s">
        <v>393</v>
      </c>
      <c r="L58" s="5">
        <v>8660613753</v>
      </c>
      <c r="M58" s="5" t="s">
        <v>394</v>
      </c>
      <c r="N58" s="5" t="s">
        <v>395</v>
      </c>
      <c r="O58" s="5">
        <v>8099774097</v>
      </c>
      <c r="P58" s="5" t="s">
        <v>396</v>
      </c>
      <c r="Q58" s="5" t="s">
        <v>397</v>
      </c>
      <c r="R58" s="5">
        <v>7337008546</v>
      </c>
    </row>
    <row r="59" spans="1:18" ht="15" thickBot="1">
      <c r="A59" s="4" t="s">
        <v>398</v>
      </c>
      <c r="B59" s="5" t="s">
        <v>102</v>
      </c>
      <c r="C59" s="5" t="s">
        <v>20</v>
      </c>
      <c r="D59" s="5" t="s">
        <v>103</v>
      </c>
      <c r="E59" s="5" t="s">
        <v>104</v>
      </c>
      <c r="F59" s="5">
        <v>8097928258</v>
      </c>
      <c r="G59" s="5" t="s">
        <v>275</v>
      </c>
      <c r="H59" s="5" t="s">
        <v>276</v>
      </c>
      <c r="I59" s="5">
        <v>9999182731</v>
      </c>
      <c r="J59" s="5" t="s">
        <v>399</v>
      </c>
      <c r="K59" s="21" t="s">
        <v>400</v>
      </c>
      <c r="L59" s="5" t="s">
        <v>401</v>
      </c>
      <c r="M59" s="5" t="s">
        <v>402</v>
      </c>
      <c r="N59" s="22" t="s">
        <v>403</v>
      </c>
      <c r="O59" s="5">
        <v>9557233383</v>
      </c>
      <c r="P59" s="6"/>
      <c r="Q59" s="6"/>
      <c r="R59" s="6"/>
    </row>
    <row r="60" spans="1:18" ht="15" thickBot="1">
      <c r="A60" s="4" t="s">
        <v>404</v>
      </c>
      <c r="B60" s="5" t="s">
        <v>102</v>
      </c>
      <c r="C60" s="5" t="s">
        <v>20</v>
      </c>
      <c r="D60" s="5" t="s">
        <v>103</v>
      </c>
      <c r="E60" s="5" t="s">
        <v>104</v>
      </c>
      <c r="F60" s="5">
        <v>8097928258</v>
      </c>
      <c r="G60" s="5" t="s">
        <v>155</v>
      </c>
      <c r="H60" s="5" t="s">
        <v>156</v>
      </c>
      <c r="I60" s="5">
        <v>9266806499</v>
      </c>
      <c r="J60" s="5" t="s">
        <v>405</v>
      </c>
      <c r="K60" s="5" t="s">
        <v>406</v>
      </c>
      <c r="L60" s="5">
        <v>9410016350</v>
      </c>
      <c r="M60" s="5" t="s">
        <v>407</v>
      </c>
      <c r="N60" s="5" t="s">
        <v>408</v>
      </c>
      <c r="O60" s="5">
        <v>7704906394</v>
      </c>
      <c r="P60" s="6"/>
      <c r="Q60" s="6"/>
      <c r="R60" s="6"/>
    </row>
    <row r="61" spans="1:18" ht="15" thickBot="1">
      <c r="A61" s="10" t="s">
        <v>409</v>
      </c>
      <c r="B61" s="11" t="s">
        <v>77</v>
      </c>
      <c r="C61" s="11" t="s">
        <v>67</v>
      </c>
      <c r="D61" s="11" t="s">
        <v>78</v>
      </c>
      <c r="E61" s="11" t="s">
        <v>79</v>
      </c>
      <c r="F61" s="11">
        <v>7001020075</v>
      </c>
      <c r="G61" s="11" t="s">
        <v>410</v>
      </c>
      <c r="H61" s="11" t="s">
        <v>294</v>
      </c>
      <c r="I61" s="11">
        <v>7992351620</v>
      </c>
      <c r="J61" s="11" t="s">
        <v>411</v>
      </c>
      <c r="K61" s="11" t="s">
        <v>412</v>
      </c>
      <c r="L61" s="11">
        <v>7352052463</v>
      </c>
      <c r="M61" s="11" t="s">
        <v>413</v>
      </c>
      <c r="N61" s="11" t="s">
        <v>414</v>
      </c>
      <c r="O61" s="11">
        <v>8448028290</v>
      </c>
      <c r="P61" s="11" t="s">
        <v>415</v>
      </c>
      <c r="Q61" s="11" t="s">
        <v>416</v>
      </c>
      <c r="R61" s="11">
        <v>7654669235</v>
      </c>
    </row>
    <row r="62" spans="1:18" ht="15" thickBot="1">
      <c r="A62" s="4" t="s">
        <v>417</v>
      </c>
      <c r="B62" s="5" t="s">
        <v>102</v>
      </c>
      <c r="C62" s="5" t="s">
        <v>20</v>
      </c>
      <c r="D62" s="5" t="s">
        <v>234</v>
      </c>
      <c r="E62" s="5" t="s">
        <v>235</v>
      </c>
      <c r="F62" s="5">
        <v>8591391390</v>
      </c>
      <c r="G62" s="5" t="s">
        <v>236</v>
      </c>
      <c r="H62" s="5" t="s">
        <v>237</v>
      </c>
      <c r="I62" s="5">
        <v>6393102570</v>
      </c>
      <c r="J62" s="5" t="s">
        <v>418</v>
      </c>
      <c r="K62" s="5" t="s">
        <v>419</v>
      </c>
      <c r="L62" s="5">
        <v>9956219816</v>
      </c>
      <c r="M62" s="5" t="s">
        <v>420</v>
      </c>
      <c r="N62" s="5" t="s">
        <v>421</v>
      </c>
      <c r="O62" s="5">
        <v>917880672710</v>
      </c>
      <c r="P62" s="6"/>
      <c r="Q62" s="6"/>
      <c r="R62" s="6"/>
    </row>
    <row r="63" spans="1:18" ht="15" thickBot="1">
      <c r="A63" s="4" t="s">
        <v>422</v>
      </c>
      <c r="B63" s="5" t="s">
        <v>19</v>
      </c>
      <c r="C63" s="5" t="s">
        <v>20</v>
      </c>
      <c r="D63" s="5" t="s">
        <v>49</v>
      </c>
      <c r="E63" s="5" t="s">
        <v>50</v>
      </c>
      <c r="F63" s="5">
        <v>9004551388</v>
      </c>
      <c r="G63" s="5" t="s">
        <v>305</v>
      </c>
      <c r="H63" s="5" t="s">
        <v>283</v>
      </c>
      <c r="I63" s="5" t="s">
        <v>284</v>
      </c>
      <c r="J63" s="5" t="s">
        <v>423</v>
      </c>
      <c r="K63" s="5" t="s">
        <v>424</v>
      </c>
      <c r="L63" s="5" t="s">
        <v>425</v>
      </c>
      <c r="M63" s="5" t="s">
        <v>426</v>
      </c>
      <c r="N63" s="5" t="s">
        <v>427</v>
      </c>
      <c r="O63" s="5">
        <v>9926906678</v>
      </c>
      <c r="P63" s="5" t="s">
        <v>428</v>
      </c>
      <c r="Q63" s="5" t="s">
        <v>429</v>
      </c>
      <c r="R63" s="5">
        <v>8962798776</v>
      </c>
    </row>
    <row r="64" spans="1:18" ht="15" thickBot="1">
      <c r="A64" s="4" t="s">
        <v>430</v>
      </c>
      <c r="B64" s="5" t="s">
        <v>77</v>
      </c>
      <c r="C64" s="5" t="s">
        <v>20</v>
      </c>
      <c r="D64" s="5" t="s">
        <v>78</v>
      </c>
      <c r="E64" s="5" t="s">
        <v>79</v>
      </c>
      <c r="F64" s="5">
        <v>7001020075</v>
      </c>
      <c r="G64" s="5" t="s">
        <v>334</v>
      </c>
      <c r="H64" s="5" t="s">
        <v>335</v>
      </c>
      <c r="I64" s="5">
        <v>9303626268</v>
      </c>
      <c r="J64" s="5" t="s">
        <v>431</v>
      </c>
      <c r="K64" s="5" t="s">
        <v>432</v>
      </c>
      <c r="L64" s="23">
        <v>8637837758</v>
      </c>
      <c r="M64" s="5" t="s">
        <v>433</v>
      </c>
      <c r="N64" s="5" t="s">
        <v>434</v>
      </c>
      <c r="O64" s="5">
        <v>9681185032</v>
      </c>
      <c r="P64" s="6"/>
      <c r="Q64" s="6"/>
      <c r="R64" s="6"/>
    </row>
    <row r="65" spans="1:18" ht="15" thickBot="1">
      <c r="A65" s="4" t="s">
        <v>435</v>
      </c>
      <c r="B65" s="5" t="s">
        <v>19</v>
      </c>
      <c r="C65" s="5" t="s">
        <v>20</v>
      </c>
      <c r="D65" s="5" t="s">
        <v>49</v>
      </c>
      <c r="E65" s="5" t="s">
        <v>50</v>
      </c>
      <c r="F65" s="5">
        <v>9004551388</v>
      </c>
      <c r="G65" s="5" t="s">
        <v>302</v>
      </c>
      <c r="H65" s="5" t="s">
        <v>303</v>
      </c>
      <c r="I65" s="5">
        <v>8806659691</v>
      </c>
      <c r="J65" s="5" t="s">
        <v>436</v>
      </c>
      <c r="K65" s="5" t="s">
        <v>437</v>
      </c>
      <c r="L65" s="5">
        <v>7588668369</v>
      </c>
      <c r="M65" s="5" t="s">
        <v>438</v>
      </c>
      <c r="N65" s="5" t="s">
        <v>439</v>
      </c>
      <c r="O65" s="5">
        <v>9284643233</v>
      </c>
      <c r="P65" s="6"/>
      <c r="Q65" s="6"/>
      <c r="R65" s="6"/>
    </row>
    <row r="66" spans="1:18" ht="15" thickBot="1">
      <c r="A66" s="10" t="s">
        <v>440</v>
      </c>
      <c r="B66" s="11" t="s">
        <v>19</v>
      </c>
      <c r="C66" s="11" t="s">
        <v>67</v>
      </c>
      <c r="D66" s="11" t="s">
        <v>49</v>
      </c>
      <c r="E66" s="11" t="s">
        <v>50</v>
      </c>
      <c r="F66" s="11">
        <v>9004551388</v>
      </c>
      <c r="G66" s="11" t="s">
        <v>68</v>
      </c>
      <c r="H66" s="11" t="s">
        <v>69</v>
      </c>
      <c r="I66" s="11">
        <v>7024477807</v>
      </c>
      <c r="J66" s="11" t="s">
        <v>441</v>
      </c>
      <c r="K66" s="24" t="s">
        <v>442</v>
      </c>
      <c r="L66" s="11">
        <v>8429844413</v>
      </c>
      <c r="M66" s="11" t="s">
        <v>443</v>
      </c>
      <c r="N66" s="11" t="s">
        <v>444</v>
      </c>
      <c r="O66" s="11">
        <v>9009149143</v>
      </c>
      <c r="P66" s="11" t="s">
        <v>445</v>
      </c>
      <c r="Q66" s="11" t="s">
        <v>446</v>
      </c>
      <c r="R66" s="11">
        <v>8959620999</v>
      </c>
    </row>
    <row r="67" spans="1:18" ht="15" thickBot="1">
      <c r="A67" s="4" t="s">
        <v>447</v>
      </c>
      <c r="B67" s="5" t="s">
        <v>77</v>
      </c>
      <c r="C67" s="5" t="s">
        <v>20</v>
      </c>
      <c r="D67" s="5" t="s">
        <v>78</v>
      </c>
      <c r="E67" s="5" t="s">
        <v>79</v>
      </c>
      <c r="F67" s="5">
        <v>7001020075</v>
      </c>
      <c r="G67" s="5" t="s">
        <v>334</v>
      </c>
      <c r="H67" s="5" t="s">
        <v>335</v>
      </c>
      <c r="I67" s="5">
        <v>9303626268</v>
      </c>
      <c r="J67" s="5" t="s">
        <v>448</v>
      </c>
      <c r="K67" s="5" t="s">
        <v>449</v>
      </c>
      <c r="L67" s="5">
        <v>7278927626</v>
      </c>
      <c r="M67" s="5" t="s">
        <v>450</v>
      </c>
      <c r="N67" s="5" t="s">
        <v>451</v>
      </c>
      <c r="O67" s="5">
        <v>9635977809</v>
      </c>
      <c r="P67" s="5" t="s">
        <v>452</v>
      </c>
      <c r="Q67" s="23" t="s">
        <v>453</v>
      </c>
      <c r="R67" s="5" t="s">
        <v>454</v>
      </c>
    </row>
    <row r="68" spans="1:18" ht="15" thickBot="1">
      <c r="A68" s="4" t="s">
        <v>455</v>
      </c>
      <c r="B68" s="5" t="s">
        <v>19</v>
      </c>
      <c r="C68" s="5" t="s">
        <v>20</v>
      </c>
      <c r="D68" s="5" t="s">
        <v>21</v>
      </c>
      <c r="E68" s="5" t="s">
        <v>22</v>
      </c>
      <c r="F68" s="5">
        <v>8007696417</v>
      </c>
      <c r="G68" s="5" t="s">
        <v>378</v>
      </c>
      <c r="H68" s="5" t="s">
        <v>379</v>
      </c>
      <c r="I68" s="5">
        <v>9099201055</v>
      </c>
      <c r="J68" s="5" t="s">
        <v>456</v>
      </c>
      <c r="K68" s="5" t="s">
        <v>457</v>
      </c>
      <c r="L68" s="5">
        <v>8488823936</v>
      </c>
      <c r="M68" s="5" t="s">
        <v>458</v>
      </c>
      <c r="N68" s="5" t="s">
        <v>459</v>
      </c>
      <c r="O68" s="5">
        <v>7900856570</v>
      </c>
      <c r="P68" s="6"/>
      <c r="Q68" s="6"/>
      <c r="R68" s="6"/>
    </row>
    <row r="69" spans="1:18" ht="15" thickBot="1">
      <c r="A69" s="4" t="s">
        <v>460</v>
      </c>
      <c r="B69" s="5" t="s">
        <v>19</v>
      </c>
      <c r="C69" s="5" t="s">
        <v>20</v>
      </c>
      <c r="D69" s="5" t="s">
        <v>21</v>
      </c>
      <c r="E69" s="5" t="s">
        <v>22</v>
      </c>
      <c r="F69" s="5">
        <v>8007696417</v>
      </c>
      <c r="G69" s="5" t="s">
        <v>357</v>
      </c>
      <c r="H69" s="5" t="s">
        <v>358</v>
      </c>
      <c r="I69" s="5">
        <v>8930909315</v>
      </c>
      <c r="J69" s="5" t="s">
        <v>461</v>
      </c>
      <c r="K69" s="5" t="s">
        <v>462</v>
      </c>
      <c r="L69" s="5">
        <v>9695640704</v>
      </c>
      <c r="M69" s="5" t="s">
        <v>361</v>
      </c>
      <c r="N69" s="5" t="s">
        <v>362</v>
      </c>
      <c r="O69" s="5">
        <v>6351502235</v>
      </c>
      <c r="P69" s="6"/>
      <c r="Q69" s="6"/>
      <c r="R69" s="6"/>
    </row>
    <row r="70" spans="1:18" ht="15" thickBot="1">
      <c r="A70" s="4" t="s">
        <v>463</v>
      </c>
      <c r="B70" s="5" t="s">
        <v>19</v>
      </c>
      <c r="C70" s="5" t="s">
        <v>20</v>
      </c>
      <c r="D70" s="5" t="s">
        <v>49</v>
      </c>
      <c r="E70" s="5" t="s">
        <v>50</v>
      </c>
      <c r="F70" s="5">
        <v>9004551388</v>
      </c>
      <c r="G70" s="5" t="s">
        <v>221</v>
      </c>
      <c r="H70" s="5" t="s">
        <v>222</v>
      </c>
      <c r="I70" s="5">
        <v>8826836418</v>
      </c>
      <c r="J70" s="5" t="s">
        <v>464</v>
      </c>
      <c r="K70" s="5" t="s">
        <v>465</v>
      </c>
      <c r="L70" s="5">
        <v>9610771514</v>
      </c>
      <c r="M70" s="5" t="s">
        <v>466</v>
      </c>
      <c r="N70" s="5" t="s">
        <v>467</v>
      </c>
      <c r="O70" s="5">
        <v>9898715522</v>
      </c>
      <c r="P70" s="6"/>
      <c r="Q70" s="6"/>
      <c r="R70" s="6"/>
    </row>
    <row r="71" spans="1:18" ht="15" thickBot="1">
      <c r="A71" s="4" t="s">
        <v>468</v>
      </c>
      <c r="B71" s="5" t="s">
        <v>19</v>
      </c>
      <c r="C71" s="5" t="s">
        <v>20</v>
      </c>
      <c r="D71" s="5" t="s">
        <v>21</v>
      </c>
      <c r="E71" s="5" t="s">
        <v>22</v>
      </c>
      <c r="F71" s="5">
        <v>8007696417</v>
      </c>
      <c r="G71" s="5" t="s">
        <v>378</v>
      </c>
      <c r="H71" s="5" t="s">
        <v>379</v>
      </c>
      <c r="I71" s="5">
        <v>9099201055</v>
      </c>
      <c r="J71" s="5" t="s">
        <v>469</v>
      </c>
      <c r="K71" s="5" t="s">
        <v>470</v>
      </c>
      <c r="L71" s="5">
        <v>9997845742</v>
      </c>
      <c r="M71" s="6"/>
      <c r="N71" s="6"/>
      <c r="O71" s="6"/>
      <c r="P71" s="6"/>
      <c r="Q71" s="6"/>
      <c r="R71" s="6"/>
    </row>
    <row r="72" spans="1:18" ht="15" thickBot="1">
      <c r="A72" s="4" t="s">
        <v>471</v>
      </c>
      <c r="B72" s="5" t="s">
        <v>102</v>
      </c>
      <c r="C72" s="5" t="s">
        <v>20</v>
      </c>
      <c r="D72" s="5" t="s">
        <v>110</v>
      </c>
      <c r="E72" s="5" t="s">
        <v>111</v>
      </c>
      <c r="F72" s="5">
        <v>9582713760</v>
      </c>
      <c r="G72" s="5" t="s">
        <v>112</v>
      </c>
      <c r="H72" s="5" t="s">
        <v>113</v>
      </c>
      <c r="I72" s="5">
        <v>9212555696</v>
      </c>
      <c r="J72" s="5" t="s">
        <v>472</v>
      </c>
      <c r="K72" s="5" t="s">
        <v>473</v>
      </c>
      <c r="L72" s="5">
        <v>8683813743</v>
      </c>
      <c r="M72" s="5" t="s">
        <v>474</v>
      </c>
      <c r="N72" s="5" t="s">
        <v>475</v>
      </c>
      <c r="O72" s="5">
        <v>8818005330</v>
      </c>
      <c r="P72" s="6"/>
      <c r="Q72" s="6"/>
      <c r="R72" s="6"/>
    </row>
    <row r="73" spans="1:18" ht="15" thickBot="1">
      <c r="A73" s="4" t="s">
        <v>476</v>
      </c>
      <c r="B73" s="5" t="s">
        <v>77</v>
      </c>
      <c r="C73" s="5" t="s">
        <v>20</v>
      </c>
      <c r="D73" s="5" t="s">
        <v>78</v>
      </c>
      <c r="E73" s="5" t="s">
        <v>79</v>
      </c>
      <c r="F73" s="5">
        <v>7001020075</v>
      </c>
      <c r="G73" s="5" t="s">
        <v>293</v>
      </c>
      <c r="H73" s="5" t="s">
        <v>294</v>
      </c>
      <c r="I73" s="5">
        <v>7992351620</v>
      </c>
      <c r="J73" s="5" t="s">
        <v>477</v>
      </c>
      <c r="K73" s="25" t="s">
        <v>478</v>
      </c>
      <c r="L73" s="5">
        <v>8210748344</v>
      </c>
      <c r="M73" s="5" t="s">
        <v>479</v>
      </c>
      <c r="N73" s="5" t="s">
        <v>480</v>
      </c>
      <c r="O73" s="5">
        <v>9334040734</v>
      </c>
      <c r="P73" s="5" t="s">
        <v>481</v>
      </c>
      <c r="Q73" s="5" t="s">
        <v>482</v>
      </c>
      <c r="R73" s="5">
        <v>7260988849</v>
      </c>
    </row>
    <row r="74" spans="1:18" ht="15" thickBot="1">
      <c r="A74" s="4" t="s">
        <v>483</v>
      </c>
      <c r="B74" s="5" t="s">
        <v>102</v>
      </c>
      <c r="C74" s="5" t="s">
        <v>20</v>
      </c>
      <c r="D74" s="5" t="s">
        <v>234</v>
      </c>
      <c r="E74" s="5" t="s">
        <v>235</v>
      </c>
      <c r="F74" s="5">
        <v>8591391390</v>
      </c>
      <c r="G74" s="5" t="s">
        <v>264</v>
      </c>
      <c r="H74" s="5" t="s">
        <v>265</v>
      </c>
      <c r="I74" s="5">
        <v>9888665095</v>
      </c>
      <c r="J74" s="5" t="s">
        <v>266</v>
      </c>
      <c r="K74" s="5" t="s">
        <v>267</v>
      </c>
      <c r="L74" s="5">
        <v>8847290992</v>
      </c>
      <c r="M74" s="5" t="s">
        <v>484</v>
      </c>
      <c r="N74" s="5" t="s">
        <v>485</v>
      </c>
      <c r="O74" s="5">
        <v>8090384994</v>
      </c>
      <c r="P74" s="6"/>
      <c r="Q74" s="6"/>
      <c r="R74" s="6"/>
    </row>
    <row r="75" spans="1:18" ht="15" thickBot="1">
      <c r="A75" s="4" t="s">
        <v>486</v>
      </c>
      <c r="B75" s="5" t="s">
        <v>30</v>
      </c>
      <c r="C75" s="5" t="s">
        <v>20</v>
      </c>
      <c r="D75" s="5" t="s">
        <v>31</v>
      </c>
      <c r="E75" s="5" t="s">
        <v>32</v>
      </c>
      <c r="F75" s="5" t="s">
        <v>33</v>
      </c>
      <c r="G75" s="5" t="s">
        <v>487</v>
      </c>
      <c r="H75" s="5" t="s">
        <v>488</v>
      </c>
      <c r="I75" s="5">
        <v>9994448658</v>
      </c>
      <c r="J75" s="5" t="s">
        <v>489</v>
      </c>
      <c r="K75" s="5" t="s">
        <v>490</v>
      </c>
      <c r="L75" s="5">
        <v>8668045720</v>
      </c>
      <c r="M75" s="6"/>
      <c r="N75" s="6"/>
      <c r="O75" s="6"/>
      <c r="P75" s="5" t="s">
        <v>491</v>
      </c>
      <c r="Q75" s="5" t="s">
        <v>492</v>
      </c>
      <c r="R75" s="5">
        <v>8883257427</v>
      </c>
    </row>
    <row r="76" spans="1:18" ht="15" thickBot="1">
      <c r="A76" s="4" t="s">
        <v>493</v>
      </c>
      <c r="B76" s="5" t="s">
        <v>30</v>
      </c>
      <c r="C76" s="5" t="s">
        <v>20</v>
      </c>
      <c r="D76" s="5" t="s">
        <v>31</v>
      </c>
      <c r="E76" s="5" t="s">
        <v>32</v>
      </c>
      <c r="F76" s="5" t="s">
        <v>33</v>
      </c>
      <c r="G76" s="5" t="s">
        <v>487</v>
      </c>
      <c r="H76" s="5" t="s">
        <v>488</v>
      </c>
      <c r="I76" s="5">
        <v>9994448658</v>
      </c>
      <c r="J76" s="5" t="s">
        <v>494</v>
      </c>
      <c r="K76" s="5" t="s">
        <v>495</v>
      </c>
      <c r="L76" s="5">
        <v>8825794847</v>
      </c>
      <c r="M76" s="5" t="s">
        <v>496</v>
      </c>
      <c r="N76" s="5" t="s">
        <v>497</v>
      </c>
      <c r="O76" s="5">
        <v>7025751238</v>
      </c>
      <c r="P76" s="5" t="s">
        <v>498</v>
      </c>
      <c r="Q76" s="5" t="s">
        <v>499</v>
      </c>
      <c r="R76" s="5">
        <v>9072731195</v>
      </c>
    </row>
    <row r="77" spans="1:18" ht="15" thickBot="1">
      <c r="A77" s="4" t="s">
        <v>501</v>
      </c>
      <c r="B77" s="5" t="s">
        <v>19</v>
      </c>
      <c r="C77" s="5" t="s">
        <v>20</v>
      </c>
      <c r="D77" s="5" t="s">
        <v>21</v>
      </c>
      <c r="E77" s="5" t="s">
        <v>22</v>
      </c>
      <c r="F77" s="5">
        <v>8007696417</v>
      </c>
      <c r="G77" s="5" t="s">
        <v>23</v>
      </c>
      <c r="H77" s="5" t="s">
        <v>24</v>
      </c>
      <c r="I77" s="5">
        <v>8160593572</v>
      </c>
      <c r="J77" s="5" t="s">
        <v>502</v>
      </c>
      <c r="K77" s="5" t="s">
        <v>503</v>
      </c>
      <c r="L77" s="5">
        <v>9687358442</v>
      </c>
      <c r="M77" s="6"/>
      <c r="N77" s="6"/>
      <c r="O77" s="6"/>
      <c r="P77" s="6"/>
      <c r="Q77" s="6"/>
      <c r="R77" s="6"/>
    </row>
    <row r="78" spans="1:18" ht="15" thickBot="1">
      <c r="A78" s="4" t="s">
        <v>504</v>
      </c>
      <c r="B78" s="5" t="s">
        <v>77</v>
      </c>
      <c r="C78" s="5" t="s">
        <v>20</v>
      </c>
      <c r="D78" s="5" t="s">
        <v>78</v>
      </c>
      <c r="E78" s="5" t="s">
        <v>79</v>
      </c>
      <c r="F78" s="5">
        <v>7001020075</v>
      </c>
      <c r="G78" s="5" t="s">
        <v>187</v>
      </c>
      <c r="H78" s="5" t="s">
        <v>188</v>
      </c>
      <c r="I78" s="5">
        <v>7001483429</v>
      </c>
      <c r="J78" s="5" t="s">
        <v>505</v>
      </c>
      <c r="K78" s="5" t="s">
        <v>506</v>
      </c>
      <c r="L78" s="5">
        <v>7449412609</v>
      </c>
      <c r="M78" s="5" t="s">
        <v>507</v>
      </c>
      <c r="N78" s="5" t="s">
        <v>508</v>
      </c>
      <c r="O78" s="5">
        <v>8617772165</v>
      </c>
      <c r="P78" s="6"/>
      <c r="Q78" s="6"/>
      <c r="R78" s="6"/>
    </row>
    <row r="79" spans="1:18" ht="15" thickBot="1">
      <c r="A79" s="4" t="s">
        <v>509</v>
      </c>
      <c r="B79" s="5" t="s">
        <v>102</v>
      </c>
      <c r="C79" s="5" t="s">
        <v>20</v>
      </c>
      <c r="D79" s="5" t="s">
        <v>234</v>
      </c>
      <c r="E79" s="5" t="s">
        <v>235</v>
      </c>
      <c r="F79" s="5">
        <v>8591391390</v>
      </c>
      <c r="G79" s="5" t="s">
        <v>510</v>
      </c>
      <c r="H79" s="5" t="s">
        <v>511</v>
      </c>
      <c r="I79" s="5">
        <v>8010417770</v>
      </c>
      <c r="J79" s="5" t="s">
        <v>512</v>
      </c>
      <c r="K79" s="5" t="s">
        <v>513</v>
      </c>
      <c r="L79" s="5">
        <v>9670622600</v>
      </c>
      <c r="M79" s="5" t="s">
        <v>514</v>
      </c>
      <c r="N79" s="5" t="s">
        <v>515</v>
      </c>
      <c r="O79" s="5">
        <v>7880832095</v>
      </c>
      <c r="P79" s="6"/>
      <c r="Q79" s="6"/>
      <c r="R79" s="6"/>
    </row>
    <row r="80" spans="1:18" ht="15" thickBot="1">
      <c r="A80" s="10" t="s">
        <v>516</v>
      </c>
      <c r="B80" s="11" t="s">
        <v>30</v>
      </c>
      <c r="C80" s="11" t="s">
        <v>67</v>
      </c>
      <c r="D80" s="11" t="s">
        <v>31</v>
      </c>
      <c r="E80" s="11" t="s">
        <v>32</v>
      </c>
      <c r="F80" s="11" t="s">
        <v>33</v>
      </c>
      <c r="G80" s="11" t="s">
        <v>487</v>
      </c>
      <c r="H80" s="11" t="s">
        <v>488</v>
      </c>
      <c r="I80" s="11">
        <v>9994448658</v>
      </c>
      <c r="J80" s="11" t="s">
        <v>517</v>
      </c>
      <c r="K80" s="11" t="s">
        <v>518</v>
      </c>
      <c r="L80" s="11">
        <v>9025995888</v>
      </c>
      <c r="M80" s="13"/>
      <c r="N80" s="13"/>
      <c r="O80" s="13"/>
      <c r="P80" s="13"/>
      <c r="Q80" s="13"/>
      <c r="R80" s="13"/>
    </row>
    <row r="81" spans="1:18" ht="15" thickBot="1">
      <c r="A81" s="4" t="s">
        <v>519</v>
      </c>
      <c r="B81" s="5" t="s">
        <v>30</v>
      </c>
      <c r="C81" s="5" t="s">
        <v>20</v>
      </c>
      <c r="D81" s="5" t="s">
        <v>31</v>
      </c>
      <c r="E81" s="5" t="s">
        <v>32</v>
      </c>
      <c r="F81" s="5" t="s">
        <v>33</v>
      </c>
      <c r="G81" s="5" t="s">
        <v>92</v>
      </c>
      <c r="H81" s="5" t="s">
        <v>93</v>
      </c>
      <c r="I81" s="5">
        <v>7358110674</v>
      </c>
      <c r="J81" s="5" t="s">
        <v>520</v>
      </c>
      <c r="K81" s="5" t="s">
        <v>521</v>
      </c>
      <c r="L81" s="5">
        <v>9071717181</v>
      </c>
      <c r="M81" s="5" t="s">
        <v>522</v>
      </c>
      <c r="N81" s="5" t="s">
        <v>523</v>
      </c>
      <c r="O81" s="5" t="s">
        <v>100</v>
      </c>
      <c r="P81" s="5" t="s">
        <v>524</v>
      </c>
      <c r="Q81" s="5" t="s">
        <v>525</v>
      </c>
      <c r="R81" s="5">
        <v>8754667886</v>
      </c>
    </row>
    <row r="82" spans="1:18" ht="15" thickBot="1">
      <c r="A82" s="4" t="s">
        <v>526</v>
      </c>
      <c r="B82" s="5" t="s">
        <v>30</v>
      </c>
      <c r="C82" s="5" t="s">
        <v>20</v>
      </c>
      <c r="D82" s="5" t="s">
        <v>31</v>
      </c>
      <c r="E82" s="5" t="s">
        <v>32</v>
      </c>
      <c r="F82" s="5" t="s">
        <v>33</v>
      </c>
      <c r="G82" s="5" t="s">
        <v>243</v>
      </c>
      <c r="H82" s="5" t="s">
        <v>244</v>
      </c>
      <c r="I82" s="5">
        <v>8129603774</v>
      </c>
      <c r="J82" s="5" t="s">
        <v>527</v>
      </c>
      <c r="K82" s="26" t="s">
        <v>528</v>
      </c>
      <c r="L82" s="5">
        <v>8098698690</v>
      </c>
      <c r="M82" s="5" t="s">
        <v>529</v>
      </c>
      <c r="N82" s="5" t="s">
        <v>530</v>
      </c>
      <c r="O82" s="5">
        <v>7904028118</v>
      </c>
      <c r="P82" s="6"/>
      <c r="Q82" s="6"/>
      <c r="R82" s="6"/>
    </row>
    <row r="83" spans="1:18" ht="15" thickBot="1">
      <c r="A83" s="4" t="s">
        <v>531</v>
      </c>
      <c r="B83" s="5" t="s">
        <v>19</v>
      </c>
      <c r="C83" s="5" t="s">
        <v>20</v>
      </c>
      <c r="D83" s="5" t="s">
        <v>21</v>
      </c>
      <c r="E83" s="5" t="s">
        <v>22</v>
      </c>
      <c r="F83" s="5">
        <v>8007696417</v>
      </c>
      <c r="G83" s="5" t="s">
        <v>532</v>
      </c>
      <c r="H83" s="5" t="s">
        <v>533</v>
      </c>
      <c r="I83" s="5">
        <v>9766803981</v>
      </c>
      <c r="J83" s="5" t="s">
        <v>534</v>
      </c>
      <c r="K83" s="5" t="s">
        <v>535</v>
      </c>
      <c r="L83" s="5" t="s">
        <v>536</v>
      </c>
      <c r="M83" s="6"/>
      <c r="N83" s="6"/>
      <c r="O83" s="6"/>
      <c r="P83" s="6"/>
      <c r="Q83" s="6"/>
      <c r="R83" s="6"/>
    </row>
    <row r="84" spans="1:18" ht="15" thickBot="1">
      <c r="A84" s="4" t="s">
        <v>537</v>
      </c>
      <c r="B84" s="5" t="s">
        <v>19</v>
      </c>
      <c r="C84" s="5" t="s">
        <v>20</v>
      </c>
      <c r="D84" s="5" t="s">
        <v>49</v>
      </c>
      <c r="E84" s="5" t="s">
        <v>50</v>
      </c>
      <c r="F84" s="5">
        <v>9004551388</v>
      </c>
      <c r="G84" s="5" t="s">
        <v>221</v>
      </c>
      <c r="H84" s="5" t="s">
        <v>222</v>
      </c>
      <c r="I84" s="5">
        <v>8826836418</v>
      </c>
      <c r="J84" s="5" t="s">
        <v>538</v>
      </c>
      <c r="K84" s="5" t="s">
        <v>539</v>
      </c>
      <c r="L84" s="5">
        <v>9166141184</v>
      </c>
      <c r="M84" s="5" t="s">
        <v>540</v>
      </c>
      <c r="N84" s="5" t="s">
        <v>541</v>
      </c>
      <c r="O84" s="5">
        <v>6376369461</v>
      </c>
      <c r="P84" s="6"/>
      <c r="Q84" s="6"/>
      <c r="R84" s="6"/>
    </row>
    <row r="85" spans="1:18" ht="15" thickBot="1">
      <c r="A85" s="10" t="s">
        <v>542</v>
      </c>
      <c r="B85" s="11" t="s">
        <v>19</v>
      </c>
      <c r="C85" s="11" t="s">
        <v>67</v>
      </c>
      <c r="D85" s="11" t="s">
        <v>49</v>
      </c>
      <c r="E85" s="11" t="s">
        <v>50</v>
      </c>
      <c r="F85" s="11">
        <v>9004551388</v>
      </c>
      <c r="G85" s="11" t="s">
        <v>221</v>
      </c>
      <c r="H85" s="11" t="s">
        <v>222</v>
      </c>
      <c r="I85" s="11">
        <v>8826836418</v>
      </c>
      <c r="J85" s="13"/>
      <c r="K85" s="13"/>
      <c r="L85" s="13"/>
      <c r="M85" s="13"/>
      <c r="N85" s="13"/>
      <c r="O85" s="13"/>
      <c r="P85" s="13"/>
      <c r="Q85" s="13"/>
      <c r="R85" s="13"/>
    </row>
    <row r="86" spans="1:18" ht="15" thickBot="1">
      <c r="A86" s="4" t="s">
        <v>543</v>
      </c>
      <c r="B86" s="5" t="s">
        <v>19</v>
      </c>
      <c r="C86" s="5" t="s">
        <v>20</v>
      </c>
      <c r="D86" s="5" t="s">
        <v>49</v>
      </c>
      <c r="E86" s="5" t="s">
        <v>50</v>
      </c>
      <c r="F86" s="5">
        <v>9004551388</v>
      </c>
      <c r="G86" s="5" t="s">
        <v>305</v>
      </c>
      <c r="H86" s="5" t="s">
        <v>283</v>
      </c>
      <c r="I86" s="5" t="s">
        <v>284</v>
      </c>
      <c r="J86" s="5" t="s">
        <v>544</v>
      </c>
      <c r="K86" s="5" t="s">
        <v>545</v>
      </c>
      <c r="L86" s="5">
        <v>9301184536</v>
      </c>
      <c r="M86" s="5" t="s">
        <v>546</v>
      </c>
      <c r="N86" s="5" t="s">
        <v>547</v>
      </c>
      <c r="O86" s="5">
        <v>9078951868</v>
      </c>
      <c r="P86" s="6"/>
      <c r="Q86" s="6"/>
      <c r="R86" s="6"/>
    </row>
    <row r="87" spans="1:18" ht="15" thickBot="1">
      <c r="A87" s="4" t="s">
        <v>548</v>
      </c>
      <c r="B87" s="5" t="s">
        <v>102</v>
      </c>
      <c r="C87" s="5" t="s">
        <v>20</v>
      </c>
      <c r="D87" s="5" t="s">
        <v>103</v>
      </c>
      <c r="E87" s="5" t="s">
        <v>104</v>
      </c>
      <c r="F87" s="5">
        <v>8097928258</v>
      </c>
      <c r="G87" s="5" t="s">
        <v>135</v>
      </c>
      <c r="H87" s="5" t="s">
        <v>136</v>
      </c>
      <c r="I87" s="5">
        <v>7291972416</v>
      </c>
      <c r="J87" s="5" t="s">
        <v>549</v>
      </c>
      <c r="K87" s="5" t="s">
        <v>550</v>
      </c>
      <c r="L87" s="5">
        <v>7078460985</v>
      </c>
      <c r="M87" s="5" t="s">
        <v>551</v>
      </c>
      <c r="N87" s="5" t="s">
        <v>552</v>
      </c>
      <c r="O87" s="5">
        <v>9953455434</v>
      </c>
      <c r="P87" s="6"/>
      <c r="Q87" s="6"/>
      <c r="R87" s="6"/>
    </row>
    <row r="88" spans="1:18" ht="15" thickBot="1">
      <c r="A88" s="4" t="s">
        <v>553</v>
      </c>
      <c r="B88" s="5" t="s">
        <v>19</v>
      </c>
      <c r="C88" s="5" t="s">
        <v>20</v>
      </c>
      <c r="D88" s="5" t="s">
        <v>21</v>
      </c>
      <c r="E88" s="5" t="s">
        <v>22</v>
      </c>
      <c r="F88" s="5">
        <v>8007696417</v>
      </c>
      <c r="G88" s="5" t="s">
        <v>532</v>
      </c>
      <c r="H88" s="5" t="s">
        <v>533</v>
      </c>
      <c r="I88" s="5">
        <v>9766803981</v>
      </c>
      <c r="J88" s="5" t="s">
        <v>554</v>
      </c>
      <c r="K88" s="5" t="s">
        <v>555</v>
      </c>
      <c r="L88" s="5" t="s">
        <v>556</v>
      </c>
      <c r="M88" s="6"/>
      <c r="N88" s="6"/>
      <c r="O88" s="27"/>
      <c r="P88" s="6"/>
      <c r="Q88" s="6"/>
      <c r="R88" s="6"/>
    </row>
    <row r="89" spans="1:18" ht="15" thickBot="1">
      <c r="A89" s="4" t="s">
        <v>557</v>
      </c>
      <c r="B89" s="5" t="s">
        <v>102</v>
      </c>
      <c r="C89" s="5" t="s">
        <v>20</v>
      </c>
      <c r="D89" s="5" t="s">
        <v>110</v>
      </c>
      <c r="E89" s="5" t="s">
        <v>111</v>
      </c>
      <c r="F89" s="5">
        <v>9582713760</v>
      </c>
      <c r="G89" s="5" t="s">
        <v>140</v>
      </c>
      <c r="H89" s="5" t="s">
        <v>141</v>
      </c>
      <c r="I89" s="5">
        <v>8527384707</v>
      </c>
      <c r="J89" s="5" t="s">
        <v>558</v>
      </c>
      <c r="K89" s="5" t="s">
        <v>559</v>
      </c>
      <c r="L89" s="5">
        <v>9813607710</v>
      </c>
      <c r="M89" s="5" t="s">
        <v>185</v>
      </c>
      <c r="N89" s="5" t="s">
        <v>560</v>
      </c>
      <c r="O89" s="5">
        <v>9671292423</v>
      </c>
      <c r="P89" s="6"/>
      <c r="Q89" s="6"/>
      <c r="R89" s="6"/>
    </row>
    <row r="90" spans="1:18" ht="15" thickBot="1">
      <c r="A90" s="4" t="s">
        <v>561</v>
      </c>
      <c r="B90" s="5" t="s">
        <v>19</v>
      </c>
      <c r="C90" s="5" t="s">
        <v>20</v>
      </c>
      <c r="D90" s="5" t="s">
        <v>21</v>
      </c>
      <c r="E90" s="5" t="s">
        <v>22</v>
      </c>
      <c r="F90" s="5">
        <v>8007696417</v>
      </c>
      <c r="G90" s="5" t="s">
        <v>365</v>
      </c>
      <c r="H90" s="5" t="s">
        <v>366</v>
      </c>
      <c r="I90" s="5">
        <v>7016450894</v>
      </c>
      <c r="J90" s="5" t="s">
        <v>562</v>
      </c>
      <c r="K90" s="5" t="s">
        <v>563</v>
      </c>
      <c r="L90" s="5">
        <v>7202862501</v>
      </c>
      <c r="M90" s="6"/>
      <c r="N90" s="6"/>
      <c r="O90" s="6"/>
      <c r="P90" s="6"/>
      <c r="Q90" s="6"/>
      <c r="R90" s="6"/>
    </row>
    <row r="91" spans="1:18" ht="15" thickBot="1">
      <c r="A91" s="4" t="s">
        <v>564</v>
      </c>
      <c r="B91" s="5" t="s">
        <v>19</v>
      </c>
      <c r="C91" s="5" t="s">
        <v>20</v>
      </c>
      <c r="D91" s="5" t="s">
        <v>49</v>
      </c>
      <c r="E91" s="5" t="s">
        <v>50</v>
      </c>
      <c r="F91" s="5">
        <v>9004551388</v>
      </c>
      <c r="G91" s="5" t="s">
        <v>59</v>
      </c>
      <c r="H91" s="5" t="s">
        <v>565</v>
      </c>
      <c r="I91" s="5">
        <v>9969276834</v>
      </c>
      <c r="J91" s="5" t="s">
        <v>566</v>
      </c>
      <c r="K91" s="5" t="s">
        <v>567</v>
      </c>
      <c r="L91" s="5">
        <v>9420477892</v>
      </c>
      <c r="M91" s="5" t="s">
        <v>568</v>
      </c>
      <c r="N91" s="5" t="s">
        <v>569</v>
      </c>
      <c r="O91" s="5">
        <v>9021190556</v>
      </c>
      <c r="P91" s="6"/>
      <c r="Q91" s="5" t="s">
        <v>570</v>
      </c>
      <c r="R91" s="5">
        <v>7218717822</v>
      </c>
    </row>
    <row r="92" spans="1:18" ht="15" thickBot="1">
      <c r="A92" s="4" t="s">
        <v>571</v>
      </c>
      <c r="B92" s="5" t="s">
        <v>19</v>
      </c>
      <c r="C92" s="5" t="s">
        <v>20</v>
      </c>
      <c r="D92" s="5" t="s">
        <v>21</v>
      </c>
      <c r="E92" s="5" t="s">
        <v>22</v>
      </c>
      <c r="F92" s="5">
        <v>8007696417</v>
      </c>
      <c r="G92" s="5" t="s">
        <v>572</v>
      </c>
      <c r="H92" s="5" t="s">
        <v>379</v>
      </c>
      <c r="I92" s="5">
        <v>9099201055</v>
      </c>
      <c r="J92" s="5" t="s">
        <v>573</v>
      </c>
      <c r="K92" s="5" t="s">
        <v>574</v>
      </c>
      <c r="L92" s="5">
        <v>9136364631</v>
      </c>
      <c r="M92" s="5" t="s">
        <v>575</v>
      </c>
      <c r="N92" s="5" t="s">
        <v>576</v>
      </c>
      <c r="O92" s="5">
        <v>9021190556</v>
      </c>
      <c r="P92" s="6"/>
      <c r="Q92" s="6"/>
      <c r="R92" s="6"/>
    </row>
    <row r="93" spans="1:18" ht="15" thickBot="1">
      <c r="A93" s="4" t="s">
        <v>577</v>
      </c>
      <c r="B93" s="5" t="s">
        <v>102</v>
      </c>
      <c r="C93" s="5" t="s">
        <v>20</v>
      </c>
      <c r="D93" s="5" t="s">
        <v>110</v>
      </c>
      <c r="E93" s="5" t="s">
        <v>111</v>
      </c>
      <c r="F93" s="5">
        <v>9582713760</v>
      </c>
      <c r="G93" s="5" t="s">
        <v>343</v>
      </c>
      <c r="H93" s="5" t="s">
        <v>344</v>
      </c>
      <c r="I93" s="5">
        <v>9027246940</v>
      </c>
      <c r="J93" s="5" t="s">
        <v>578</v>
      </c>
      <c r="K93" s="5" t="s">
        <v>579</v>
      </c>
      <c r="L93" s="5">
        <v>8924962177</v>
      </c>
      <c r="M93" s="5" t="s">
        <v>580</v>
      </c>
      <c r="N93" s="5" t="s">
        <v>581</v>
      </c>
      <c r="O93" s="5">
        <v>9068120449</v>
      </c>
      <c r="P93" s="6"/>
      <c r="Q93" s="6"/>
      <c r="R93" s="6"/>
    </row>
    <row r="94" spans="1:18" ht="15" thickBot="1">
      <c r="A94" s="4" t="s">
        <v>582</v>
      </c>
      <c r="B94" s="5" t="s">
        <v>102</v>
      </c>
      <c r="C94" s="5" t="s">
        <v>20</v>
      </c>
      <c r="D94" s="5" t="s">
        <v>234</v>
      </c>
      <c r="E94" s="5" t="s">
        <v>235</v>
      </c>
      <c r="F94" s="5">
        <v>8591391390</v>
      </c>
      <c r="G94" s="5" t="s">
        <v>583</v>
      </c>
      <c r="H94" s="5" t="s">
        <v>584</v>
      </c>
      <c r="I94" s="5">
        <v>7500636152</v>
      </c>
      <c r="J94" s="5" t="s">
        <v>585</v>
      </c>
      <c r="K94" s="5" t="s">
        <v>586</v>
      </c>
      <c r="L94" s="5">
        <v>8439394921</v>
      </c>
      <c r="M94" s="5" t="s">
        <v>587</v>
      </c>
      <c r="N94" s="5" t="s">
        <v>588</v>
      </c>
      <c r="O94" s="5">
        <v>6200326458</v>
      </c>
      <c r="P94" s="6"/>
      <c r="Q94" s="6"/>
      <c r="R94" s="6"/>
    </row>
    <row r="95" spans="1:18" ht="15" thickBot="1">
      <c r="A95" s="4" t="s">
        <v>589</v>
      </c>
      <c r="B95" s="5" t="s">
        <v>30</v>
      </c>
      <c r="C95" s="5" t="s">
        <v>20</v>
      </c>
      <c r="D95" s="5" t="s">
        <v>31</v>
      </c>
      <c r="E95" s="5" t="s">
        <v>32</v>
      </c>
      <c r="F95" s="5" t="s">
        <v>33</v>
      </c>
      <c r="G95" s="5" t="s">
        <v>590</v>
      </c>
      <c r="H95" s="5" t="s">
        <v>591</v>
      </c>
      <c r="I95" s="5">
        <v>8074125321</v>
      </c>
      <c r="J95" s="5" t="s">
        <v>592</v>
      </c>
      <c r="K95" s="5" t="s">
        <v>593</v>
      </c>
      <c r="L95" s="5">
        <v>9666481545</v>
      </c>
      <c r="M95" s="5" t="s">
        <v>594</v>
      </c>
      <c r="N95" s="5" t="s">
        <v>595</v>
      </c>
      <c r="O95" s="5">
        <v>9133204632</v>
      </c>
      <c r="P95" s="6"/>
      <c r="Q95" s="6"/>
      <c r="R95" s="6"/>
    </row>
    <row r="96" spans="1:18" ht="15" thickBot="1">
      <c r="A96" s="4" t="s">
        <v>596</v>
      </c>
      <c r="B96" s="5" t="s">
        <v>102</v>
      </c>
      <c r="C96" s="5" t="s">
        <v>20</v>
      </c>
      <c r="D96" s="5" t="s">
        <v>110</v>
      </c>
      <c r="E96" s="5" t="s">
        <v>111</v>
      </c>
      <c r="F96" s="5">
        <v>9582713760</v>
      </c>
      <c r="G96" s="5" t="s">
        <v>597</v>
      </c>
      <c r="H96" s="5" t="s">
        <v>598</v>
      </c>
      <c r="I96" s="5">
        <v>9871651231</v>
      </c>
      <c r="J96" s="5" t="s">
        <v>599</v>
      </c>
      <c r="K96" s="5" t="s">
        <v>600</v>
      </c>
      <c r="L96" s="5">
        <v>9588199624</v>
      </c>
      <c r="M96" s="5" t="s">
        <v>601</v>
      </c>
      <c r="N96" s="28" t="s">
        <v>602</v>
      </c>
      <c r="O96" s="5">
        <v>9953202277</v>
      </c>
      <c r="P96" s="6"/>
      <c r="Q96" s="6"/>
      <c r="R96" s="6"/>
    </row>
    <row r="97" spans="1:18" ht="15" thickBot="1">
      <c r="A97" s="4" t="s">
        <v>603</v>
      </c>
      <c r="B97" s="5" t="s">
        <v>102</v>
      </c>
      <c r="C97" s="5" t="s">
        <v>20</v>
      </c>
      <c r="D97" s="5" t="s">
        <v>103</v>
      </c>
      <c r="E97" s="5" t="s">
        <v>104</v>
      </c>
      <c r="F97" s="5">
        <v>8097928258</v>
      </c>
      <c r="G97" s="5" t="s">
        <v>135</v>
      </c>
      <c r="H97" s="5" t="s">
        <v>136</v>
      </c>
      <c r="I97" s="5">
        <v>7291972416</v>
      </c>
      <c r="J97" s="5" t="s">
        <v>578</v>
      </c>
      <c r="K97" s="5" t="s">
        <v>604</v>
      </c>
      <c r="L97" s="5">
        <v>9519180136</v>
      </c>
      <c r="M97" s="5" t="s">
        <v>605</v>
      </c>
      <c r="N97" s="28" t="s">
        <v>606</v>
      </c>
      <c r="O97" s="5">
        <v>9534779078</v>
      </c>
      <c r="P97" s="6"/>
      <c r="Q97" s="6"/>
      <c r="R97" s="6"/>
    </row>
    <row r="98" spans="1:18" ht="15" thickBot="1">
      <c r="A98" s="10" t="s">
        <v>607</v>
      </c>
      <c r="B98" s="11" t="s">
        <v>30</v>
      </c>
      <c r="C98" s="11" t="s">
        <v>67</v>
      </c>
      <c r="D98" s="11" t="s">
        <v>31</v>
      </c>
      <c r="E98" s="11" t="s">
        <v>32</v>
      </c>
      <c r="F98" s="11" t="s">
        <v>33</v>
      </c>
      <c r="G98" s="11" t="s">
        <v>34</v>
      </c>
      <c r="H98" s="11" t="s">
        <v>35</v>
      </c>
      <c r="I98" s="29">
        <v>9497320464</v>
      </c>
      <c r="J98" s="11" t="s">
        <v>608</v>
      </c>
      <c r="K98" s="11" t="s">
        <v>609</v>
      </c>
      <c r="L98" s="11">
        <v>7889485410</v>
      </c>
      <c r="M98" s="13"/>
      <c r="N98" s="11" t="s">
        <v>47</v>
      </c>
      <c r="O98" s="11">
        <v>9164532362</v>
      </c>
      <c r="P98" s="13"/>
      <c r="Q98" s="13"/>
      <c r="R98" s="13"/>
    </row>
    <row r="99" spans="1:18" ht="15" thickBot="1">
      <c r="A99" s="4" t="s">
        <v>610</v>
      </c>
      <c r="B99" s="5" t="s">
        <v>30</v>
      </c>
      <c r="C99" s="5" t="s">
        <v>20</v>
      </c>
      <c r="D99" s="5" t="s">
        <v>31</v>
      </c>
      <c r="E99" s="5" t="s">
        <v>32</v>
      </c>
      <c r="F99" s="5" t="s">
        <v>33</v>
      </c>
      <c r="G99" s="5" t="s">
        <v>42</v>
      </c>
      <c r="H99" s="5" t="s">
        <v>43</v>
      </c>
      <c r="I99" s="5">
        <v>6363387963</v>
      </c>
      <c r="J99" s="5" t="s">
        <v>611</v>
      </c>
      <c r="K99" s="5" t="s">
        <v>612</v>
      </c>
      <c r="L99" s="5">
        <v>9900549403</v>
      </c>
      <c r="M99" s="5" t="s">
        <v>613</v>
      </c>
      <c r="N99" s="5" t="s">
        <v>614</v>
      </c>
      <c r="O99" s="5">
        <v>8105466398</v>
      </c>
      <c r="P99" s="6"/>
      <c r="Q99" s="6"/>
      <c r="R99" s="6"/>
    </row>
    <row r="100" spans="1:18" ht="15" thickBot="1">
      <c r="A100" s="4" t="s">
        <v>615</v>
      </c>
      <c r="B100" s="5" t="s">
        <v>19</v>
      </c>
      <c r="C100" s="5" t="s">
        <v>20</v>
      </c>
      <c r="D100" s="5" t="s">
        <v>21</v>
      </c>
      <c r="E100" s="5" t="s">
        <v>22</v>
      </c>
      <c r="F100" s="5">
        <v>8007696417</v>
      </c>
      <c r="G100" s="5" t="s">
        <v>350</v>
      </c>
      <c r="H100" s="5" t="s">
        <v>351</v>
      </c>
      <c r="I100" s="5">
        <v>7698837388</v>
      </c>
      <c r="J100" s="5" t="s">
        <v>616</v>
      </c>
      <c r="K100" s="5" t="s">
        <v>617</v>
      </c>
      <c r="L100" s="5">
        <v>7984429471</v>
      </c>
      <c r="M100" s="5" t="s">
        <v>618</v>
      </c>
      <c r="N100" s="5" t="s">
        <v>619</v>
      </c>
      <c r="O100" s="5">
        <v>8349966315</v>
      </c>
      <c r="P100" s="6"/>
      <c r="Q100" s="6"/>
      <c r="R100" s="6"/>
    </row>
    <row r="101" spans="1:18" ht="15" thickBot="1">
      <c r="A101" s="10" t="s">
        <v>620</v>
      </c>
      <c r="B101" s="11" t="s">
        <v>19</v>
      </c>
      <c r="C101" s="11" t="s">
        <v>67</v>
      </c>
      <c r="D101" s="11" t="s">
        <v>49</v>
      </c>
      <c r="E101" s="11" t="s">
        <v>50</v>
      </c>
      <c r="F101" s="11">
        <v>9004551388</v>
      </c>
      <c r="G101" s="11" t="s">
        <v>68</v>
      </c>
      <c r="H101" s="11" t="s">
        <v>69</v>
      </c>
      <c r="I101" s="11">
        <v>7024477807</v>
      </c>
      <c r="J101" s="11" t="s">
        <v>621</v>
      </c>
      <c r="K101" s="11" t="s">
        <v>622</v>
      </c>
      <c r="L101" s="11">
        <v>9074396112</v>
      </c>
      <c r="M101" s="11" t="s">
        <v>623</v>
      </c>
      <c r="N101" s="11" t="s">
        <v>624</v>
      </c>
      <c r="O101" s="11">
        <v>6261477094</v>
      </c>
      <c r="P101" s="13"/>
      <c r="Q101" s="11" t="s">
        <v>625</v>
      </c>
      <c r="R101" s="11">
        <v>8770933174</v>
      </c>
    </row>
    <row r="102" spans="1:18" ht="15" thickBot="1">
      <c r="A102" s="4" t="s">
        <v>626</v>
      </c>
      <c r="B102" s="5" t="s">
        <v>30</v>
      </c>
      <c r="C102" s="5" t="s">
        <v>20</v>
      </c>
      <c r="D102" s="5" t="s">
        <v>31</v>
      </c>
      <c r="E102" s="5" t="s">
        <v>32</v>
      </c>
      <c r="F102" s="5" t="s">
        <v>33</v>
      </c>
      <c r="G102" s="5" t="s">
        <v>590</v>
      </c>
      <c r="H102" s="5" t="s">
        <v>591</v>
      </c>
      <c r="I102" s="5">
        <v>8074125321</v>
      </c>
      <c r="J102" s="5" t="s">
        <v>627</v>
      </c>
      <c r="K102" s="5" t="s">
        <v>627</v>
      </c>
      <c r="L102" s="30">
        <v>9985928248</v>
      </c>
      <c r="M102" s="5" t="s">
        <v>628</v>
      </c>
      <c r="N102" s="5" t="s">
        <v>629</v>
      </c>
      <c r="O102" s="5">
        <v>9063456784</v>
      </c>
      <c r="P102" s="5" t="s">
        <v>630</v>
      </c>
      <c r="Q102" s="5" t="s">
        <v>631</v>
      </c>
      <c r="R102" s="5">
        <v>9491229298</v>
      </c>
    </row>
    <row r="103" spans="1:18" ht="15" thickBot="1">
      <c r="A103" s="4" t="s">
        <v>632</v>
      </c>
      <c r="B103" s="5" t="s">
        <v>19</v>
      </c>
      <c r="C103" s="5" t="s">
        <v>20</v>
      </c>
      <c r="D103" s="5" t="s">
        <v>49</v>
      </c>
      <c r="E103" s="5" t="s">
        <v>50</v>
      </c>
      <c r="F103" s="5">
        <v>9004551388</v>
      </c>
      <c r="G103" s="5" t="s">
        <v>302</v>
      </c>
      <c r="H103" s="5" t="s">
        <v>303</v>
      </c>
      <c r="I103" s="5">
        <v>8806659691</v>
      </c>
      <c r="J103" s="5" t="s">
        <v>633</v>
      </c>
      <c r="K103" s="5" t="s">
        <v>634</v>
      </c>
      <c r="L103" s="5">
        <v>9370641864</v>
      </c>
      <c r="M103" s="5" t="s">
        <v>635</v>
      </c>
      <c r="N103" s="5" t="s">
        <v>636</v>
      </c>
      <c r="O103" s="5">
        <v>8605234465</v>
      </c>
      <c r="P103" s="6"/>
      <c r="Q103" s="6"/>
      <c r="R103" s="6"/>
    </row>
    <row r="104" spans="1:18" ht="15" thickBot="1">
      <c r="A104" s="4" t="s">
        <v>637</v>
      </c>
      <c r="B104" s="5" t="s">
        <v>102</v>
      </c>
      <c r="C104" s="5" t="s">
        <v>20</v>
      </c>
      <c r="D104" s="5" t="s">
        <v>103</v>
      </c>
      <c r="E104" s="5" t="s">
        <v>104</v>
      </c>
      <c r="F104" s="5">
        <v>8097928258</v>
      </c>
      <c r="G104" s="5" t="s">
        <v>105</v>
      </c>
      <c r="H104" s="5" t="s">
        <v>106</v>
      </c>
      <c r="I104" s="5">
        <v>9166587996</v>
      </c>
      <c r="J104" s="5" t="s">
        <v>638</v>
      </c>
      <c r="K104" s="5" t="s">
        <v>639</v>
      </c>
      <c r="L104" s="5">
        <v>9690836794</v>
      </c>
      <c r="M104" s="5" t="s">
        <v>148</v>
      </c>
      <c r="N104" s="5" t="s">
        <v>640</v>
      </c>
      <c r="O104" s="5">
        <v>8081303457</v>
      </c>
      <c r="P104" s="6"/>
      <c r="Q104" s="6"/>
      <c r="R104" s="6"/>
    </row>
    <row r="105" spans="1:18" ht="15" thickBot="1">
      <c r="A105" s="4" t="s">
        <v>641</v>
      </c>
      <c r="B105" s="5" t="s">
        <v>102</v>
      </c>
      <c r="C105" s="5" t="s">
        <v>20</v>
      </c>
      <c r="D105" s="5" t="s">
        <v>110</v>
      </c>
      <c r="E105" s="5" t="s">
        <v>111</v>
      </c>
      <c r="F105" s="5">
        <v>9582713760</v>
      </c>
      <c r="G105" s="5" t="s">
        <v>112</v>
      </c>
      <c r="H105" s="5" t="s">
        <v>113</v>
      </c>
      <c r="I105" s="5">
        <v>9212555696</v>
      </c>
      <c r="J105" s="5" t="s">
        <v>642</v>
      </c>
      <c r="K105" s="5" t="s">
        <v>643</v>
      </c>
      <c r="L105" s="5">
        <v>7452063578</v>
      </c>
      <c r="M105" s="5" t="s">
        <v>644</v>
      </c>
      <c r="N105" s="5" t="s">
        <v>645</v>
      </c>
      <c r="O105" s="5">
        <v>6387178996</v>
      </c>
      <c r="P105" s="6"/>
      <c r="Q105" s="6"/>
      <c r="R105" s="6"/>
    </row>
    <row r="106" spans="1:18" ht="15" thickBot="1">
      <c r="A106" s="10" t="s">
        <v>646</v>
      </c>
      <c r="B106" s="11" t="s">
        <v>102</v>
      </c>
      <c r="C106" s="11" t="s">
        <v>67</v>
      </c>
      <c r="D106" s="11" t="s">
        <v>234</v>
      </c>
      <c r="E106" s="11" t="s">
        <v>235</v>
      </c>
      <c r="F106" s="11">
        <v>8591391390</v>
      </c>
      <c r="G106" s="11" t="s">
        <v>647</v>
      </c>
      <c r="H106" s="11" t="s">
        <v>648</v>
      </c>
      <c r="I106" s="11">
        <v>8588041335</v>
      </c>
      <c r="J106" s="11" t="s">
        <v>649</v>
      </c>
      <c r="K106" s="11" t="s">
        <v>650</v>
      </c>
      <c r="L106" s="11">
        <v>7899868644</v>
      </c>
      <c r="M106" s="11" t="s">
        <v>651</v>
      </c>
      <c r="N106" s="11" t="s">
        <v>652</v>
      </c>
      <c r="O106" s="11">
        <v>8896214274</v>
      </c>
      <c r="P106" s="13"/>
      <c r="Q106" s="13"/>
      <c r="R106" s="13"/>
    </row>
    <row r="107" spans="1:18" ht="15" thickBot="1">
      <c r="A107" s="4" t="s">
        <v>653</v>
      </c>
      <c r="B107" s="5" t="s">
        <v>19</v>
      </c>
      <c r="C107" s="5" t="s">
        <v>20</v>
      </c>
      <c r="D107" s="5" t="s">
        <v>21</v>
      </c>
      <c r="E107" s="5" t="s">
        <v>22</v>
      </c>
      <c r="F107" s="5">
        <v>8007696417</v>
      </c>
      <c r="G107" s="5" t="s">
        <v>350</v>
      </c>
      <c r="H107" s="5" t="s">
        <v>351</v>
      </c>
      <c r="I107" s="5">
        <v>7698837388</v>
      </c>
      <c r="J107" s="5" t="s">
        <v>654</v>
      </c>
      <c r="K107" s="5" t="s">
        <v>655</v>
      </c>
      <c r="L107" s="5">
        <v>9168377043</v>
      </c>
      <c r="M107" s="5" t="s">
        <v>160</v>
      </c>
      <c r="N107" s="5" t="s">
        <v>656</v>
      </c>
      <c r="O107" s="5">
        <v>9898244977</v>
      </c>
      <c r="P107" s="6"/>
      <c r="Q107" s="6"/>
      <c r="R107" s="6"/>
    </row>
    <row r="108" spans="1:18" ht="15" thickBot="1">
      <c r="A108" s="4" t="s">
        <v>657</v>
      </c>
      <c r="B108" s="5" t="s">
        <v>77</v>
      </c>
      <c r="C108" s="5" t="s">
        <v>20</v>
      </c>
      <c r="D108" s="5" t="s">
        <v>78</v>
      </c>
      <c r="E108" s="5" t="s">
        <v>79</v>
      </c>
      <c r="F108" s="5">
        <v>7001020075</v>
      </c>
      <c r="G108" s="5" t="s">
        <v>658</v>
      </c>
      <c r="H108" s="5" t="s">
        <v>659</v>
      </c>
      <c r="I108" s="5">
        <v>9546813432</v>
      </c>
      <c r="J108" s="5" t="s">
        <v>660</v>
      </c>
      <c r="K108" s="5" t="s">
        <v>661</v>
      </c>
      <c r="L108" s="5">
        <v>8949954119</v>
      </c>
      <c r="M108" s="5" t="s">
        <v>662</v>
      </c>
      <c r="N108" s="5" t="s">
        <v>663</v>
      </c>
      <c r="O108" s="5">
        <v>7209522397</v>
      </c>
      <c r="P108" s="5" t="s">
        <v>189</v>
      </c>
      <c r="Q108" s="5" t="s">
        <v>190</v>
      </c>
      <c r="R108" s="5">
        <v>6294745548</v>
      </c>
    </row>
    <row r="109" spans="1:18" ht="15" thickBot="1">
      <c r="A109" s="10" t="s">
        <v>664</v>
      </c>
      <c r="B109" s="11" t="s">
        <v>102</v>
      </c>
      <c r="C109" s="11" t="s">
        <v>67</v>
      </c>
      <c r="D109" s="11" t="s">
        <v>234</v>
      </c>
      <c r="E109" s="11" t="s">
        <v>235</v>
      </c>
      <c r="F109" s="11">
        <v>8591391390</v>
      </c>
      <c r="G109" s="31" t="s">
        <v>665</v>
      </c>
      <c r="H109" s="32" t="s">
        <v>666</v>
      </c>
      <c r="I109" s="11">
        <v>9858705037</v>
      </c>
      <c r="J109" s="11" t="s">
        <v>667</v>
      </c>
      <c r="K109" s="11" t="s">
        <v>668</v>
      </c>
      <c r="L109" s="11">
        <v>8901471039</v>
      </c>
      <c r="M109" s="13"/>
      <c r="N109" s="13"/>
      <c r="O109" s="13"/>
      <c r="P109" s="13"/>
      <c r="Q109" s="13"/>
      <c r="R109" s="13"/>
    </row>
    <row r="110" spans="1:18" ht="15" thickBot="1">
      <c r="A110" s="4" t="s">
        <v>669</v>
      </c>
      <c r="B110" s="5" t="s">
        <v>19</v>
      </c>
      <c r="C110" s="5" t="s">
        <v>20</v>
      </c>
      <c r="D110" s="5" t="s">
        <v>49</v>
      </c>
      <c r="E110" s="5" t="s">
        <v>50</v>
      </c>
      <c r="F110" s="5">
        <v>9004551388</v>
      </c>
      <c r="G110" s="5" t="s">
        <v>221</v>
      </c>
      <c r="H110" s="5" t="s">
        <v>222</v>
      </c>
      <c r="I110" s="5">
        <v>8826836418</v>
      </c>
      <c r="J110" s="5" t="s">
        <v>670</v>
      </c>
      <c r="K110" s="5" t="s">
        <v>671</v>
      </c>
      <c r="L110" s="5">
        <v>9782937212</v>
      </c>
      <c r="M110" s="6"/>
      <c r="N110" s="6"/>
      <c r="O110" s="6"/>
      <c r="P110" s="6"/>
      <c r="Q110" s="6"/>
      <c r="R110" s="6"/>
    </row>
    <row r="111" spans="1:18" ht="15" thickBot="1">
      <c r="A111" s="4" t="s">
        <v>672</v>
      </c>
      <c r="B111" s="5" t="s">
        <v>77</v>
      </c>
      <c r="C111" s="5" t="s">
        <v>20</v>
      </c>
      <c r="D111" s="5" t="s">
        <v>78</v>
      </c>
      <c r="E111" s="5" t="s">
        <v>79</v>
      </c>
      <c r="F111" s="5">
        <v>7001020075</v>
      </c>
      <c r="G111" s="5" t="s">
        <v>293</v>
      </c>
      <c r="H111" s="5" t="s">
        <v>294</v>
      </c>
      <c r="I111" s="5">
        <v>7992351620</v>
      </c>
      <c r="J111" s="5" t="s">
        <v>673</v>
      </c>
      <c r="K111" s="5" t="s">
        <v>674</v>
      </c>
      <c r="L111" s="5">
        <v>8709632635</v>
      </c>
      <c r="M111" s="5" t="s">
        <v>675</v>
      </c>
      <c r="N111" s="5" t="s">
        <v>676</v>
      </c>
      <c r="O111" s="23">
        <v>8210578186</v>
      </c>
      <c r="P111" s="5" t="s">
        <v>677</v>
      </c>
      <c r="Q111" s="5" t="s">
        <v>678</v>
      </c>
      <c r="R111" s="5">
        <v>6203582866</v>
      </c>
    </row>
    <row r="112" spans="1:18" ht="15" thickBot="1">
      <c r="A112" s="4" t="s">
        <v>679</v>
      </c>
      <c r="B112" s="5" t="s">
        <v>19</v>
      </c>
      <c r="C112" s="5" t="s">
        <v>20</v>
      </c>
      <c r="D112" s="5" t="s">
        <v>49</v>
      </c>
      <c r="E112" s="5" t="s">
        <v>50</v>
      </c>
      <c r="F112" s="5">
        <v>9004551388</v>
      </c>
      <c r="G112" s="5" t="s">
        <v>680</v>
      </c>
      <c r="H112" s="5" t="s">
        <v>681</v>
      </c>
      <c r="I112" s="5">
        <v>9712948673</v>
      </c>
      <c r="J112" s="5" t="s">
        <v>682</v>
      </c>
      <c r="K112" s="5" t="s">
        <v>683</v>
      </c>
      <c r="L112" s="5">
        <v>8982981396</v>
      </c>
      <c r="M112" s="5" t="s">
        <v>684</v>
      </c>
      <c r="N112" s="5" t="s">
        <v>444</v>
      </c>
      <c r="O112" s="5">
        <v>9009149143</v>
      </c>
      <c r="P112" s="33" t="s">
        <v>685</v>
      </c>
      <c r="Q112" s="23" t="s">
        <v>686</v>
      </c>
      <c r="R112" s="23">
        <v>8827557496</v>
      </c>
    </row>
    <row r="113" spans="1:18" ht="15" thickBot="1">
      <c r="A113" s="10" t="s">
        <v>687</v>
      </c>
      <c r="B113" s="11" t="s">
        <v>30</v>
      </c>
      <c r="C113" s="11" t="s">
        <v>67</v>
      </c>
      <c r="D113" s="11" t="s">
        <v>31</v>
      </c>
      <c r="E113" s="11" t="s">
        <v>32</v>
      </c>
      <c r="F113" s="11" t="s">
        <v>33</v>
      </c>
      <c r="G113" s="11" t="s">
        <v>385</v>
      </c>
      <c r="H113" s="11" t="s">
        <v>386</v>
      </c>
      <c r="I113" s="11">
        <v>9133001077</v>
      </c>
      <c r="J113" s="11" t="s">
        <v>688</v>
      </c>
      <c r="K113" s="11" t="s">
        <v>689</v>
      </c>
      <c r="L113" s="11">
        <v>8309775952</v>
      </c>
      <c r="M113" s="11" t="s">
        <v>690</v>
      </c>
      <c r="N113" s="11" t="s">
        <v>691</v>
      </c>
      <c r="O113" s="11">
        <v>7207708434</v>
      </c>
      <c r="P113" s="13"/>
      <c r="Q113" s="13"/>
      <c r="R113" s="13"/>
    </row>
    <row r="114" spans="1:18" ht="15" thickBot="1">
      <c r="A114" s="4" t="s">
        <v>692</v>
      </c>
      <c r="B114" s="5" t="s">
        <v>77</v>
      </c>
      <c r="C114" s="5" t="s">
        <v>20</v>
      </c>
      <c r="D114" s="5" t="s">
        <v>78</v>
      </c>
      <c r="E114" s="5" t="s">
        <v>79</v>
      </c>
      <c r="F114" s="5">
        <v>7001020075</v>
      </c>
      <c r="G114" s="5" t="s">
        <v>658</v>
      </c>
      <c r="H114" s="5" t="s">
        <v>659</v>
      </c>
      <c r="I114" s="5">
        <v>9546813432</v>
      </c>
      <c r="J114" s="5" t="s">
        <v>693</v>
      </c>
      <c r="K114" s="5" t="s">
        <v>694</v>
      </c>
      <c r="L114" s="5">
        <v>8178057683</v>
      </c>
      <c r="M114" s="5" t="s">
        <v>695</v>
      </c>
      <c r="N114" s="5" t="s">
        <v>696</v>
      </c>
      <c r="O114" s="5">
        <v>9122150297</v>
      </c>
      <c r="P114" s="5" t="s">
        <v>697</v>
      </c>
      <c r="Q114" s="5" t="s">
        <v>698</v>
      </c>
      <c r="R114" s="5">
        <v>9693677858</v>
      </c>
    </row>
    <row r="115" spans="1:18" ht="15" thickBot="1">
      <c r="A115" s="4" t="s">
        <v>699</v>
      </c>
      <c r="B115" s="5" t="s">
        <v>102</v>
      </c>
      <c r="C115" s="5" t="s">
        <v>20</v>
      </c>
      <c r="D115" s="5" t="s">
        <v>103</v>
      </c>
      <c r="E115" s="5" t="s">
        <v>104</v>
      </c>
      <c r="F115" s="5">
        <v>8097928258</v>
      </c>
      <c r="G115" s="5" t="s">
        <v>105</v>
      </c>
      <c r="H115" s="5" t="s">
        <v>106</v>
      </c>
      <c r="I115" s="5">
        <v>9166587996</v>
      </c>
      <c r="J115" s="5" t="s">
        <v>700</v>
      </c>
      <c r="K115" s="5" t="s">
        <v>701</v>
      </c>
      <c r="L115" s="5">
        <v>8860284670</v>
      </c>
      <c r="M115" s="6"/>
      <c r="N115" s="6"/>
      <c r="O115" s="6"/>
      <c r="P115" s="6"/>
      <c r="Q115" s="6"/>
      <c r="R115" s="6"/>
    </row>
    <row r="116" spans="1:18" ht="15" thickBot="1">
      <c r="A116" s="10" t="s">
        <v>702</v>
      </c>
      <c r="B116" s="11" t="s">
        <v>30</v>
      </c>
      <c r="C116" s="11" t="s">
        <v>67</v>
      </c>
      <c r="D116" s="11" t="s">
        <v>31</v>
      </c>
      <c r="E116" s="11" t="s">
        <v>32</v>
      </c>
      <c r="F116" s="11" t="s">
        <v>33</v>
      </c>
      <c r="G116" s="11" t="s">
        <v>195</v>
      </c>
      <c r="H116" s="11" t="s">
        <v>196</v>
      </c>
      <c r="I116" s="11">
        <v>8550010045</v>
      </c>
      <c r="J116" s="11" t="s">
        <v>703</v>
      </c>
      <c r="K116" s="11" t="s">
        <v>704</v>
      </c>
      <c r="L116" s="11">
        <v>6309703197</v>
      </c>
      <c r="M116" s="11" t="s">
        <v>705</v>
      </c>
      <c r="N116" s="11" t="s">
        <v>706</v>
      </c>
      <c r="O116" s="11">
        <v>7794037163</v>
      </c>
      <c r="P116" s="13"/>
      <c r="Q116" s="13"/>
      <c r="R116" s="13"/>
    </row>
    <row r="117" spans="1:18" ht="15" thickBot="1">
      <c r="A117" s="4" t="s">
        <v>707</v>
      </c>
      <c r="B117" s="5" t="s">
        <v>19</v>
      </c>
      <c r="C117" s="5" t="s">
        <v>20</v>
      </c>
      <c r="D117" s="5" t="s">
        <v>21</v>
      </c>
      <c r="E117" s="5" t="s">
        <v>22</v>
      </c>
      <c r="F117" s="5">
        <v>8007696417</v>
      </c>
      <c r="G117" s="5" t="s">
        <v>309</v>
      </c>
      <c r="H117" s="5" t="s">
        <v>310</v>
      </c>
      <c r="I117" s="5">
        <v>7028402715</v>
      </c>
      <c r="J117" s="5" t="s">
        <v>708</v>
      </c>
      <c r="K117" s="5" t="s">
        <v>709</v>
      </c>
      <c r="L117" s="21">
        <v>9990171664</v>
      </c>
      <c r="M117" s="6"/>
      <c r="N117" s="6"/>
      <c r="O117" s="27"/>
      <c r="P117" s="6"/>
      <c r="Q117" s="6"/>
      <c r="R117" s="6"/>
    </row>
    <row r="118" spans="1:18" ht="15" thickBot="1">
      <c r="A118" s="4" t="s">
        <v>710</v>
      </c>
      <c r="B118" s="5" t="s">
        <v>77</v>
      </c>
      <c r="C118" s="5" t="s">
        <v>20</v>
      </c>
      <c r="D118" s="5" t="s">
        <v>78</v>
      </c>
      <c r="E118" s="5" t="s">
        <v>79</v>
      </c>
      <c r="F118" s="5">
        <v>7001020075</v>
      </c>
      <c r="G118" s="5" t="s">
        <v>162</v>
      </c>
      <c r="H118" s="5" t="s">
        <v>163</v>
      </c>
      <c r="I118" s="5">
        <v>7979735523</v>
      </c>
      <c r="J118" s="5" t="s">
        <v>711</v>
      </c>
      <c r="K118" s="5" t="s">
        <v>712</v>
      </c>
      <c r="L118" s="5">
        <v>7033787504</v>
      </c>
      <c r="M118" s="5" t="s">
        <v>713</v>
      </c>
      <c r="N118" s="5" t="s">
        <v>714</v>
      </c>
      <c r="O118" s="5">
        <v>6204919495</v>
      </c>
      <c r="P118" s="6"/>
      <c r="Q118" s="6"/>
      <c r="R118" s="6"/>
    </row>
    <row r="119" spans="1:18" ht="15" thickBot="1">
      <c r="A119" s="4" t="s">
        <v>715</v>
      </c>
      <c r="B119" s="5" t="s">
        <v>102</v>
      </c>
      <c r="C119" s="5" t="s">
        <v>20</v>
      </c>
      <c r="D119" s="5" t="s">
        <v>103</v>
      </c>
      <c r="E119" s="5" t="s">
        <v>104</v>
      </c>
      <c r="F119" s="5">
        <v>8097928258</v>
      </c>
      <c r="G119" s="5" t="s">
        <v>105</v>
      </c>
      <c r="H119" s="5" t="s">
        <v>106</v>
      </c>
      <c r="I119" s="5">
        <v>9166587996</v>
      </c>
      <c r="J119" s="5" t="s">
        <v>716</v>
      </c>
      <c r="K119" s="5" t="s">
        <v>717</v>
      </c>
      <c r="L119" s="5">
        <v>8864936545</v>
      </c>
      <c r="M119" s="5" t="s">
        <v>718</v>
      </c>
      <c r="N119" s="5" t="s">
        <v>719</v>
      </c>
      <c r="O119" s="5">
        <v>9991285034</v>
      </c>
      <c r="P119" s="6"/>
      <c r="Q119" s="6"/>
      <c r="R119" s="6"/>
    </row>
    <row r="120" spans="1:18" ht="15" thickBot="1">
      <c r="A120" s="10" t="s">
        <v>720</v>
      </c>
      <c r="B120" s="11" t="s">
        <v>102</v>
      </c>
      <c r="C120" s="11" t="s">
        <v>67</v>
      </c>
      <c r="D120" s="11" t="s">
        <v>103</v>
      </c>
      <c r="E120" s="11" t="s">
        <v>104</v>
      </c>
      <c r="F120" s="11">
        <v>8097928258</v>
      </c>
      <c r="G120" s="11" t="s">
        <v>119</v>
      </c>
      <c r="H120" s="11" t="s">
        <v>120</v>
      </c>
      <c r="I120" s="11">
        <v>9257905437</v>
      </c>
      <c r="J120" s="13"/>
      <c r="K120" s="13"/>
      <c r="L120" s="13"/>
      <c r="M120" s="13"/>
      <c r="N120" s="13"/>
      <c r="O120" s="13"/>
      <c r="P120" s="13"/>
      <c r="Q120" s="13"/>
      <c r="R120" s="13"/>
    </row>
    <row r="121" spans="1:18" ht="15" thickBot="1">
      <c r="A121" s="4" t="s">
        <v>722</v>
      </c>
      <c r="B121" s="5" t="s">
        <v>19</v>
      </c>
      <c r="C121" s="5" t="s">
        <v>20</v>
      </c>
      <c r="D121" s="5" t="s">
        <v>49</v>
      </c>
      <c r="E121" s="5" t="s">
        <v>50</v>
      </c>
      <c r="F121" s="5">
        <v>9004551388</v>
      </c>
      <c r="G121" s="5" t="s">
        <v>209</v>
      </c>
      <c r="H121" s="5" t="s">
        <v>120</v>
      </c>
      <c r="I121" s="5">
        <v>9413978081</v>
      </c>
      <c r="J121" s="5" t="s">
        <v>723</v>
      </c>
      <c r="K121" s="5" t="s">
        <v>724</v>
      </c>
      <c r="L121" s="5">
        <v>7340255068</v>
      </c>
      <c r="M121" s="5" t="s">
        <v>725</v>
      </c>
      <c r="N121" s="5" t="s">
        <v>726</v>
      </c>
      <c r="O121" s="5">
        <v>9424385431</v>
      </c>
      <c r="P121" s="6"/>
      <c r="Q121" s="6"/>
      <c r="R121" s="6"/>
    </row>
    <row r="122" spans="1:18" ht="15" thickBot="1">
      <c r="A122" s="4" t="s">
        <v>727</v>
      </c>
      <c r="B122" s="5" t="s">
        <v>19</v>
      </c>
      <c r="C122" s="5" t="s">
        <v>20</v>
      </c>
      <c r="D122" s="5" t="s">
        <v>49</v>
      </c>
      <c r="E122" s="5" t="s">
        <v>50</v>
      </c>
      <c r="F122" s="5">
        <v>9004551388</v>
      </c>
      <c r="G122" s="5" t="s">
        <v>221</v>
      </c>
      <c r="H122" s="5" t="s">
        <v>222</v>
      </c>
      <c r="I122" s="5">
        <v>8826836418</v>
      </c>
      <c r="J122" s="5" t="s">
        <v>728</v>
      </c>
      <c r="K122" s="5" t="s">
        <v>729</v>
      </c>
      <c r="L122" s="5">
        <v>7027651512</v>
      </c>
      <c r="M122" s="5" t="s">
        <v>730</v>
      </c>
      <c r="N122" s="5" t="s">
        <v>731</v>
      </c>
      <c r="O122" s="5">
        <v>8607481761</v>
      </c>
      <c r="P122" s="6"/>
      <c r="Q122" s="6"/>
      <c r="R122" s="6"/>
    </row>
    <row r="123" spans="1:18" ht="15" thickBot="1">
      <c r="A123" s="4" t="s">
        <v>732</v>
      </c>
      <c r="B123" s="5" t="s">
        <v>102</v>
      </c>
      <c r="C123" s="5" t="s">
        <v>20</v>
      </c>
      <c r="D123" s="5" t="s">
        <v>103</v>
      </c>
      <c r="E123" s="5" t="s">
        <v>104</v>
      </c>
      <c r="F123" s="5">
        <v>8097928258</v>
      </c>
      <c r="G123" s="5" t="s">
        <v>275</v>
      </c>
      <c r="H123" s="5" t="s">
        <v>276</v>
      </c>
      <c r="I123" s="5">
        <v>9999182731</v>
      </c>
      <c r="J123" s="5" t="s">
        <v>733</v>
      </c>
      <c r="K123" s="34" t="s">
        <v>734</v>
      </c>
      <c r="L123" s="5">
        <v>8448244830</v>
      </c>
      <c r="M123" s="5" t="s">
        <v>735</v>
      </c>
      <c r="N123" s="5" t="s">
        <v>736</v>
      </c>
      <c r="O123" s="5">
        <v>9415416798</v>
      </c>
      <c r="P123" s="6"/>
      <c r="Q123" s="6"/>
      <c r="R123" s="6"/>
    </row>
    <row r="124" spans="1:18" ht="15" thickBot="1">
      <c r="A124" s="10" t="s">
        <v>737</v>
      </c>
      <c r="B124" s="11" t="s">
        <v>19</v>
      </c>
      <c r="C124" s="11" t="s">
        <v>67</v>
      </c>
      <c r="D124" s="11" t="s">
        <v>49</v>
      </c>
      <c r="E124" s="11" t="s">
        <v>50</v>
      </c>
      <c r="F124" s="11">
        <v>9004551388</v>
      </c>
      <c r="G124" s="11" t="s">
        <v>51</v>
      </c>
      <c r="H124" s="11" t="s">
        <v>52</v>
      </c>
      <c r="I124" s="11">
        <v>8355872770</v>
      </c>
      <c r="J124" s="11" t="s">
        <v>738</v>
      </c>
      <c r="K124" s="11" t="s">
        <v>739</v>
      </c>
      <c r="L124" s="11">
        <v>9987140855</v>
      </c>
      <c r="M124" s="11" t="s">
        <v>740</v>
      </c>
      <c r="N124" s="11" t="s">
        <v>741</v>
      </c>
      <c r="O124" s="11">
        <v>9172031435</v>
      </c>
      <c r="P124" s="13"/>
      <c r="Q124" s="13"/>
      <c r="R124" s="13"/>
    </row>
    <row r="125" spans="1:18" ht="15" thickBot="1">
      <c r="A125" s="4" t="s">
        <v>742</v>
      </c>
      <c r="B125" s="5" t="s">
        <v>102</v>
      </c>
      <c r="C125" s="5" t="s">
        <v>20</v>
      </c>
      <c r="D125" s="5" t="s">
        <v>110</v>
      </c>
      <c r="E125" s="5" t="s">
        <v>111</v>
      </c>
      <c r="F125" s="5">
        <v>9582713760</v>
      </c>
      <c r="G125" s="5" t="s">
        <v>112</v>
      </c>
      <c r="H125" s="5" t="s">
        <v>113</v>
      </c>
      <c r="I125" s="5">
        <v>9212555696</v>
      </c>
      <c r="J125" s="5" t="s">
        <v>743</v>
      </c>
      <c r="K125" s="5" t="s">
        <v>744</v>
      </c>
      <c r="L125" s="5">
        <v>7503379592</v>
      </c>
      <c r="M125" s="5" t="s">
        <v>745</v>
      </c>
      <c r="N125" s="5" t="s">
        <v>746</v>
      </c>
      <c r="O125" s="5">
        <v>9953211378</v>
      </c>
      <c r="P125" s="6"/>
      <c r="Q125" s="6"/>
      <c r="R125" s="6"/>
    </row>
    <row r="126" spans="1:18" ht="15" thickBot="1">
      <c r="A126" s="4" t="s">
        <v>747</v>
      </c>
      <c r="B126" s="5" t="s">
        <v>102</v>
      </c>
      <c r="C126" s="5" t="s">
        <v>20</v>
      </c>
      <c r="D126" s="5" t="s">
        <v>234</v>
      </c>
      <c r="E126" s="5" t="s">
        <v>235</v>
      </c>
      <c r="F126" s="5">
        <v>8591391390</v>
      </c>
      <c r="G126" s="5" t="s">
        <v>583</v>
      </c>
      <c r="H126" s="5" t="s">
        <v>584</v>
      </c>
      <c r="I126" s="5">
        <v>7500636152</v>
      </c>
      <c r="J126" s="5" t="s">
        <v>748</v>
      </c>
      <c r="K126" s="5" t="s">
        <v>749</v>
      </c>
      <c r="L126" s="5">
        <v>8057179470</v>
      </c>
      <c r="M126" s="5" t="s">
        <v>750</v>
      </c>
      <c r="N126" s="5" t="s">
        <v>751</v>
      </c>
      <c r="O126" s="5">
        <v>8279390701</v>
      </c>
      <c r="P126" s="6"/>
      <c r="Q126" s="6"/>
      <c r="R126" s="6"/>
    </row>
    <row r="127" spans="1:18" ht="15" thickBot="1">
      <c r="A127" s="4" t="s">
        <v>752</v>
      </c>
      <c r="B127" s="5" t="s">
        <v>102</v>
      </c>
      <c r="C127" s="5" t="s">
        <v>20</v>
      </c>
      <c r="D127" s="5" t="s">
        <v>103</v>
      </c>
      <c r="E127" s="5" t="s">
        <v>104</v>
      </c>
      <c r="F127" s="5">
        <v>8097928258</v>
      </c>
      <c r="G127" s="5" t="s">
        <v>155</v>
      </c>
      <c r="H127" s="5" t="s">
        <v>156</v>
      </c>
      <c r="I127" s="5">
        <v>9266806499</v>
      </c>
      <c r="J127" s="5" t="s">
        <v>753</v>
      </c>
      <c r="K127" s="35" t="s">
        <v>754</v>
      </c>
      <c r="L127" s="5">
        <v>9711746381</v>
      </c>
      <c r="M127" s="5" t="s">
        <v>755</v>
      </c>
      <c r="N127" s="5" t="s">
        <v>756</v>
      </c>
      <c r="O127" s="5">
        <v>9354863679</v>
      </c>
      <c r="P127" s="6"/>
      <c r="Q127" s="6"/>
      <c r="R127" s="6"/>
    </row>
    <row r="128" spans="1:18" ht="15" thickBot="1">
      <c r="A128" s="4" t="s">
        <v>757</v>
      </c>
      <c r="B128" s="5" t="s">
        <v>102</v>
      </c>
      <c r="C128" s="5" t="s">
        <v>20</v>
      </c>
      <c r="D128" s="5" t="s">
        <v>103</v>
      </c>
      <c r="E128" s="5" t="s">
        <v>104</v>
      </c>
      <c r="F128" s="5">
        <v>8097928258</v>
      </c>
      <c r="G128" s="5" t="s">
        <v>119</v>
      </c>
      <c r="H128" s="5" t="s">
        <v>120</v>
      </c>
      <c r="I128" s="5">
        <v>9257905437</v>
      </c>
      <c r="J128" s="5" t="s">
        <v>721</v>
      </c>
      <c r="K128" s="5" t="s">
        <v>758</v>
      </c>
      <c r="L128" s="5">
        <v>9627312707</v>
      </c>
      <c r="M128" s="5" t="s">
        <v>759</v>
      </c>
      <c r="N128" s="5" t="s">
        <v>760</v>
      </c>
      <c r="O128" s="5">
        <v>9837003067</v>
      </c>
      <c r="P128" s="6"/>
      <c r="Q128" s="6"/>
      <c r="R128" s="6"/>
    </row>
    <row r="129" spans="1:18" ht="15" thickBot="1">
      <c r="A129" s="10" t="s">
        <v>761</v>
      </c>
      <c r="B129" s="11" t="s">
        <v>77</v>
      </c>
      <c r="C129" s="11" t="s">
        <v>67</v>
      </c>
      <c r="D129" s="11" t="s">
        <v>78</v>
      </c>
      <c r="E129" s="11" t="s">
        <v>79</v>
      </c>
      <c r="F129" s="11">
        <v>7001020075</v>
      </c>
      <c r="G129" s="11" t="s">
        <v>334</v>
      </c>
      <c r="H129" s="11" t="s">
        <v>335</v>
      </c>
      <c r="I129" s="11">
        <v>9303626268</v>
      </c>
      <c r="J129" s="11" t="s">
        <v>762</v>
      </c>
      <c r="K129" s="11" t="s">
        <v>763</v>
      </c>
      <c r="L129" s="11">
        <v>8509291655</v>
      </c>
      <c r="M129" s="11" t="s">
        <v>764</v>
      </c>
      <c r="N129" s="11" t="s">
        <v>765</v>
      </c>
      <c r="O129" s="11">
        <v>7908510116</v>
      </c>
      <c r="P129" s="13"/>
      <c r="Q129" s="13"/>
      <c r="R129" s="13"/>
    </row>
    <row r="130" spans="1:18" ht="15" thickBot="1">
      <c r="A130" s="4" t="s">
        <v>766</v>
      </c>
      <c r="B130" s="5" t="s">
        <v>77</v>
      </c>
      <c r="C130" s="5" t="s">
        <v>20</v>
      </c>
      <c r="D130" s="5" t="s">
        <v>78</v>
      </c>
      <c r="E130" s="5" t="s">
        <v>79</v>
      </c>
      <c r="F130" s="5">
        <v>7001020075</v>
      </c>
      <c r="G130" s="5" t="s">
        <v>187</v>
      </c>
      <c r="H130" s="5" t="s">
        <v>188</v>
      </c>
      <c r="I130" s="5">
        <v>7001483429</v>
      </c>
      <c r="J130" s="6"/>
      <c r="K130" s="6"/>
      <c r="L130" s="6"/>
      <c r="M130" s="5" t="s">
        <v>767</v>
      </c>
      <c r="N130" s="5" t="s">
        <v>768</v>
      </c>
      <c r="O130" s="5" t="s">
        <v>769</v>
      </c>
      <c r="P130" s="6"/>
      <c r="Q130" s="6"/>
      <c r="R130" s="6"/>
    </row>
    <row r="131" spans="1:18" ht="15" thickBot="1">
      <c r="A131" s="4" t="s">
        <v>770</v>
      </c>
      <c r="B131" s="5" t="s">
        <v>77</v>
      </c>
      <c r="C131" s="5" t="s">
        <v>20</v>
      </c>
      <c r="D131" s="5" t="s">
        <v>78</v>
      </c>
      <c r="E131" s="5" t="s">
        <v>79</v>
      </c>
      <c r="F131" s="5">
        <v>7001020075</v>
      </c>
      <c r="G131" s="5" t="s">
        <v>187</v>
      </c>
      <c r="H131" s="5" t="s">
        <v>188</v>
      </c>
      <c r="I131" s="5">
        <v>7001483429</v>
      </c>
      <c r="J131" s="5" t="s">
        <v>771</v>
      </c>
      <c r="K131" s="5" t="s">
        <v>772</v>
      </c>
      <c r="L131" s="5">
        <v>9330433451</v>
      </c>
      <c r="M131" s="5" t="s">
        <v>773</v>
      </c>
      <c r="N131" s="5" t="s">
        <v>774</v>
      </c>
      <c r="O131" s="5">
        <v>7908731819</v>
      </c>
      <c r="P131" s="6"/>
      <c r="Q131" s="6"/>
      <c r="R131" s="6"/>
    </row>
    <row r="132" spans="1:18" ht="15" thickBot="1">
      <c r="A132" s="4" t="s">
        <v>775</v>
      </c>
      <c r="B132" s="5" t="s">
        <v>77</v>
      </c>
      <c r="C132" s="5" t="s">
        <v>20</v>
      </c>
      <c r="D132" s="5" t="s">
        <v>78</v>
      </c>
      <c r="E132" s="5" t="s">
        <v>79</v>
      </c>
      <c r="F132" s="5">
        <v>7001020075</v>
      </c>
      <c r="G132" s="5" t="s">
        <v>187</v>
      </c>
      <c r="H132" s="5" t="s">
        <v>188</v>
      </c>
      <c r="I132" s="5">
        <v>7001483429</v>
      </c>
      <c r="J132" s="5" t="s">
        <v>776</v>
      </c>
      <c r="K132" s="5" t="s">
        <v>777</v>
      </c>
      <c r="L132" s="5">
        <v>9123772371</v>
      </c>
      <c r="M132" s="5" t="s">
        <v>778</v>
      </c>
      <c r="N132" s="5" t="s">
        <v>779</v>
      </c>
      <c r="O132" s="5">
        <v>9674018677</v>
      </c>
      <c r="P132" s="5" t="s">
        <v>780</v>
      </c>
      <c r="Q132" s="5" t="s">
        <v>781</v>
      </c>
      <c r="R132" s="5">
        <v>9771644442</v>
      </c>
    </row>
    <row r="133" spans="1:18" ht="15" thickBot="1">
      <c r="A133" s="10" t="s">
        <v>782</v>
      </c>
      <c r="B133" s="11" t="s">
        <v>77</v>
      </c>
      <c r="C133" s="11" t="s">
        <v>67</v>
      </c>
      <c r="D133" s="11" t="s">
        <v>78</v>
      </c>
      <c r="E133" s="11" t="s">
        <v>79</v>
      </c>
      <c r="F133" s="11">
        <v>7001020075</v>
      </c>
      <c r="G133" s="11" t="s">
        <v>80</v>
      </c>
      <c r="H133" s="11" t="s">
        <v>81</v>
      </c>
      <c r="I133" s="11">
        <v>9124377820</v>
      </c>
      <c r="J133" s="11" t="s">
        <v>783</v>
      </c>
      <c r="K133" s="36" t="s">
        <v>784</v>
      </c>
      <c r="L133" s="11">
        <v>9777620745</v>
      </c>
      <c r="M133" s="11" t="s">
        <v>785</v>
      </c>
      <c r="N133" s="11" t="s">
        <v>786</v>
      </c>
      <c r="O133" s="11">
        <v>9937659537</v>
      </c>
      <c r="P133" s="13"/>
      <c r="Q133" s="13"/>
      <c r="R133" s="13"/>
    </row>
    <row r="134" spans="1:18" ht="15" thickBot="1">
      <c r="A134" s="4" t="s">
        <v>787</v>
      </c>
      <c r="B134" s="5" t="s">
        <v>102</v>
      </c>
      <c r="C134" s="5" t="s">
        <v>20</v>
      </c>
      <c r="D134" s="5" t="s">
        <v>103</v>
      </c>
      <c r="E134" s="5" t="s">
        <v>104</v>
      </c>
      <c r="F134" s="5">
        <v>8097928258</v>
      </c>
      <c r="G134" s="5" t="s">
        <v>119</v>
      </c>
      <c r="H134" s="5" t="s">
        <v>120</v>
      </c>
      <c r="I134" s="5">
        <v>9257905437</v>
      </c>
      <c r="J134" s="5" t="s">
        <v>788</v>
      </c>
      <c r="K134" s="5" t="s">
        <v>789</v>
      </c>
      <c r="L134" s="5">
        <v>8433046869</v>
      </c>
      <c r="M134" s="5" t="s">
        <v>125</v>
      </c>
      <c r="N134" s="5" t="s">
        <v>790</v>
      </c>
      <c r="O134" s="5">
        <v>9999166970</v>
      </c>
      <c r="P134" s="6"/>
      <c r="Q134" s="6"/>
      <c r="R134" s="6"/>
    </row>
    <row r="135" spans="1:18" ht="15" thickBot="1">
      <c r="A135" s="4" t="s">
        <v>791</v>
      </c>
      <c r="B135" s="5" t="s">
        <v>102</v>
      </c>
      <c r="C135" s="5" t="s">
        <v>20</v>
      </c>
      <c r="D135" s="5" t="s">
        <v>103</v>
      </c>
      <c r="E135" s="5" t="s">
        <v>104</v>
      </c>
      <c r="F135" s="5">
        <v>8097928258</v>
      </c>
      <c r="G135" s="5" t="s">
        <v>105</v>
      </c>
      <c r="H135" s="5" t="s">
        <v>106</v>
      </c>
      <c r="I135" s="5">
        <v>9166587996</v>
      </c>
      <c r="J135" s="5" t="s">
        <v>743</v>
      </c>
      <c r="K135" s="5" t="s">
        <v>792</v>
      </c>
      <c r="L135" s="5">
        <v>8192050676</v>
      </c>
      <c r="M135" s="5" t="s">
        <v>793</v>
      </c>
      <c r="N135" s="5" t="s">
        <v>794</v>
      </c>
      <c r="O135" s="5">
        <v>7017142199</v>
      </c>
      <c r="P135" s="6"/>
      <c r="Q135" s="6"/>
      <c r="R135" s="6"/>
    </row>
    <row r="136" spans="1:18" ht="15" thickBot="1">
      <c r="A136" s="4" t="s">
        <v>795</v>
      </c>
      <c r="B136" s="5" t="s">
        <v>30</v>
      </c>
      <c r="C136" s="5" t="s">
        <v>20</v>
      </c>
      <c r="D136" s="5" t="s">
        <v>31</v>
      </c>
      <c r="E136" s="5" t="s">
        <v>32</v>
      </c>
      <c r="F136" s="5" t="s">
        <v>33</v>
      </c>
      <c r="G136" s="5" t="s">
        <v>34</v>
      </c>
      <c r="H136" s="5" t="s">
        <v>35</v>
      </c>
      <c r="I136" s="5">
        <v>9497320464</v>
      </c>
      <c r="J136" s="5" t="s">
        <v>796</v>
      </c>
      <c r="K136" s="5" t="s">
        <v>797</v>
      </c>
      <c r="L136" s="5">
        <v>7204214516</v>
      </c>
      <c r="M136" s="6"/>
      <c r="N136" s="5" t="s">
        <v>798</v>
      </c>
      <c r="O136" s="5">
        <v>9032477716</v>
      </c>
      <c r="P136" s="5" t="s">
        <v>799</v>
      </c>
      <c r="Q136" s="5" t="s">
        <v>800</v>
      </c>
      <c r="R136" s="5">
        <v>7077518998</v>
      </c>
    </row>
    <row r="137" spans="1:18" ht="15" thickBot="1">
      <c r="A137" s="10" t="s">
        <v>801</v>
      </c>
      <c r="B137" s="11" t="s">
        <v>19</v>
      </c>
      <c r="C137" s="11" t="s">
        <v>67</v>
      </c>
      <c r="D137" s="11" t="s">
        <v>49</v>
      </c>
      <c r="E137" s="11" t="s">
        <v>50</v>
      </c>
      <c r="F137" s="11">
        <v>9004551388</v>
      </c>
      <c r="G137" s="11" t="s">
        <v>680</v>
      </c>
      <c r="H137" s="11" t="s">
        <v>681</v>
      </c>
      <c r="I137" s="11">
        <v>9712948673</v>
      </c>
      <c r="J137" s="11" t="s">
        <v>74</v>
      </c>
      <c r="K137" s="11" t="s">
        <v>75</v>
      </c>
      <c r="L137" s="11">
        <v>8109234404</v>
      </c>
      <c r="M137" s="11" t="s">
        <v>802</v>
      </c>
      <c r="N137" s="11" t="s">
        <v>803</v>
      </c>
      <c r="O137" s="11">
        <v>9301528602</v>
      </c>
      <c r="P137" s="13"/>
      <c r="Q137" s="13"/>
      <c r="R137" s="13"/>
    </row>
    <row r="138" spans="1:18" ht="15" thickBot="1">
      <c r="A138" s="4" t="s">
        <v>804</v>
      </c>
      <c r="B138" s="5" t="s">
        <v>19</v>
      </c>
      <c r="C138" s="5" t="s">
        <v>20</v>
      </c>
      <c r="D138" s="5" t="s">
        <v>21</v>
      </c>
      <c r="E138" s="5" t="s">
        <v>22</v>
      </c>
      <c r="F138" s="5">
        <v>8007696417</v>
      </c>
      <c r="G138" s="5" t="s">
        <v>365</v>
      </c>
      <c r="H138" s="5" t="s">
        <v>366</v>
      </c>
      <c r="I138" s="5">
        <v>7016450894</v>
      </c>
      <c r="J138" s="5" t="s">
        <v>805</v>
      </c>
      <c r="K138" s="5" t="s">
        <v>806</v>
      </c>
      <c r="L138" s="5">
        <v>7827533548</v>
      </c>
      <c r="M138" s="6"/>
      <c r="N138" s="6"/>
      <c r="O138" s="6"/>
      <c r="P138" s="6"/>
      <c r="Q138" s="6"/>
      <c r="R138" s="6"/>
    </row>
    <row r="139" spans="1:18" ht="15" thickBot="1">
      <c r="A139" s="4" t="s">
        <v>807</v>
      </c>
      <c r="B139" s="5" t="s">
        <v>102</v>
      </c>
      <c r="C139" s="5" t="s">
        <v>20</v>
      </c>
      <c r="D139" s="5" t="s">
        <v>234</v>
      </c>
      <c r="E139" s="5" t="s">
        <v>235</v>
      </c>
      <c r="F139" s="5">
        <v>8591391390</v>
      </c>
      <c r="G139" s="5" t="s">
        <v>510</v>
      </c>
      <c r="H139" s="5" t="s">
        <v>511</v>
      </c>
      <c r="I139" s="5">
        <v>8010417770</v>
      </c>
      <c r="J139" s="5" t="s">
        <v>808</v>
      </c>
      <c r="K139" s="5" t="s">
        <v>809</v>
      </c>
      <c r="L139" s="5">
        <v>8726728027</v>
      </c>
      <c r="M139" s="5" t="s">
        <v>810</v>
      </c>
      <c r="N139" s="5" t="s">
        <v>811</v>
      </c>
      <c r="O139" s="5">
        <v>8795780451</v>
      </c>
      <c r="P139" s="6"/>
      <c r="Q139" s="6"/>
      <c r="R139" s="6"/>
    </row>
    <row r="140" spans="1:18" ht="15" thickBot="1">
      <c r="A140" s="4" t="s">
        <v>812</v>
      </c>
      <c r="B140" s="5" t="s">
        <v>19</v>
      </c>
      <c r="C140" s="5" t="s">
        <v>20</v>
      </c>
      <c r="D140" s="5" t="s">
        <v>21</v>
      </c>
      <c r="E140" s="5" t="s">
        <v>22</v>
      </c>
      <c r="F140" s="5">
        <v>8007696417</v>
      </c>
      <c r="G140" s="5" t="s">
        <v>365</v>
      </c>
      <c r="H140" s="5" t="s">
        <v>366</v>
      </c>
      <c r="I140" s="5">
        <v>7016450894</v>
      </c>
      <c r="J140" s="5" t="s">
        <v>813</v>
      </c>
      <c r="K140" s="5" t="s">
        <v>814</v>
      </c>
      <c r="L140" s="5">
        <v>9669575993</v>
      </c>
      <c r="M140" s="5" t="s">
        <v>815</v>
      </c>
      <c r="N140" s="6"/>
      <c r="O140" s="5">
        <v>9812502061</v>
      </c>
      <c r="P140" s="6"/>
      <c r="Q140" s="6"/>
      <c r="R140" s="6"/>
    </row>
    <row r="141" spans="1:18" ht="15" thickBot="1">
      <c r="A141" s="4" t="s">
        <v>816</v>
      </c>
      <c r="B141" s="5" t="s">
        <v>102</v>
      </c>
      <c r="C141" s="5" t="s">
        <v>20</v>
      </c>
      <c r="D141" s="5" t="s">
        <v>234</v>
      </c>
      <c r="E141" s="5" t="s">
        <v>235</v>
      </c>
      <c r="F141" s="5">
        <v>8591391390</v>
      </c>
      <c r="G141" s="5" t="s">
        <v>510</v>
      </c>
      <c r="H141" s="5" t="s">
        <v>511</v>
      </c>
      <c r="I141" s="5">
        <v>8010417770</v>
      </c>
      <c r="J141" s="5" t="s">
        <v>817</v>
      </c>
      <c r="K141" s="5" t="s">
        <v>818</v>
      </c>
      <c r="L141" s="5">
        <v>9974555917</v>
      </c>
      <c r="M141" s="5" t="s">
        <v>819</v>
      </c>
      <c r="N141" s="5" t="s">
        <v>820</v>
      </c>
      <c r="O141" s="5">
        <v>8825144377</v>
      </c>
      <c r="P141" s="6"/>
      <c r="Q141" s="6"/>
      <c r="R141" s="6"/>
    </row>
    <row r="142" spans="1:18" ht="15" thickBot="1">
      <c r="A142" s="10" t="s">
        <v>821</v>
      </c>
      <c r="B142" s="11" t="s">
        <v>102</v>
      </c>
      <c r="C142" s="11" t="s">
        <v>67</v>
      </c>
      <c r="D142" s="11" t="s">
        <v>103</v>
      </c>
      <c r="E142" s="11" t="s">
        <v>104</v>
      </c>
      <c r="F142" s="11">
        <v>8097928258</v>
      </c>
      <c r="G142" s="11" t="s">
        <v>597</v>
      </c>
      <c r="H142" s="11" t="s">
        <v>598</v>
      </c>
      <c r="I142" s="11">
        <v>9871651231</v>
      </c>
      <c r="J142" s="13"/>
      <c r="K142" s="13"/>
      <c r="L142" s="13"/>
      <c r="M142" s="13"/>
      <c r="N142" s="13"/>
      <c r="O142" s="13"/>
      <c r="P142" s="13"/>
      <c r="Q142" s="13"/>
      <c r="R142" s="13"/>
    </row>
    <row r="143" spans="1:18" ht="15" thickBot="1">
      <c r="A143" s="4" t="s">
        <v>822</v>
      </c>
      <c r="B143" s="5" t="s">
        <v>19</v>
      </c>
      <c r="C143" s="5" t="s">
        <v>20</v>
      </c>
      <c r="D143" s="5" t="s">
        <v>21</v>
      </c>
      <c r="E143" s="5" t="s">
        <v>22</v>
      </c>
      <c r="F143" s="5">
        <v>8007696417</v>
      </c>
      <c r="G143" s="5" t="s">
        <v>350</v>
      </c>
      <c r="H143" s="5" t="s">
        <v>351</v>
      </c>
      <c r="I143" s="5">
        <v>7698837388</v>
      </c>
      <c r="J143" s="5" t="s">
        <v>618</v>
      </c>
      <c r="K143" s="5" t="s">
        <v>619</v>
      </c>
      <c r="L143" s="5">
        <v>8349966315</v>
      </c>
      <c r="M143" s="5" t="s">
        <v>823</v>
      </c>
      <c r="N143" s="5" t="s">
        <v>824</v>
      </c>
      <c r="O143" s="5">
        <v>9637889815</v>
      </c>
      <c r="P143" s="6"/>
      <c r="Q143" s="6"/>
      <c r="R143" s="6"/>
    </row>
    <row r="144" spans="1:18" ht="15" thickBot="1">
      <c r="A144" s="4" t="s">
        <v>825</v>
      </c>
      <c r="B144" s="5" t="s">
        <v>102</v>
      </c>
      <c r="C144" s="5" t="s">
        <v>20</v>
      </c>
      <c r="D144" s="5" t="s">
        <v>110</v>
      </c>
      <c r="E144" s="5" t="s">
        <v>111</v>
      </c>
      <c r="F144" s="5">
        <v>9582713760</v>
      </c>
      <c r="G144" s="5" t="s">
        <v>597</v>
      </c>
      <c r="H144" s="5" t="s">
        <v>598</v>
      </c>
      <c r="I144" s="5">
        <v>9871651231</v>
      </c>
      <c r="J144" s="5" t="s">
        <v>826</v>
      </c>
      <c r="K144" s="5" t="s">
        <v>827</v>
      </c>
      <c r="L144" s="5">
        <v>7321052939</v>
      </c>
      <c r="M144" s="5" t="s">
        <v>828</v>
      </c>
      <c r="N144" s="5" t="s">
        <v>829</v>
      </c>
      <c r="O144" s="5">
        <v>8532901168</v>
      </c>
      <c r="P144" s="6"/>
      <c r="Q144" s="6"/>
      <c r="R144" s="6"/>
    </row>
    <row r="145" spans="1:18" ht="15" thickBot="1">
      <c r="A145" s="4" t="s">
        <v>830</v>
      </c>
      <c r="B145" s="5" t="s">
        <v>30</v>
      </c>
      <c r="C145" s="5" t="s">
        <v>20</v>
      </c>
      <c r="D145" s="5" t="s">
        <v>31</v>
      </c>
      <c r="E145" s="5" t="s">
        <v>32</v>
      </c>
      <c r="F145" s="5" t="s">
        <v>33</v>
      </c>
      <c r="G145" s="5" t="s">
        <v>385</v>
      </c>
      <c r="H145" s="5" t="s">
        <v>831</v>
      </c>
      <c r="I145" s="5">
        <v>9133001077</v>
      </c>
      <c r="J145" s="6"/>
      <c r="K145" s="5" t="s">
        <v>832</v>
      </c>
      <c r="L145" s="5">
        <v>9966553944</v>
      </c>
      <c r="M145" s="5" t="s">
        <v>833</v>
      </c>
      <c r="N145" s="5" t="s">
        <v>834</v>
      </c>
      <c r="O145" s="5">
        <v>94923451390</v>
      </c>
      <c r="P145" s="5" t="s">
        <v>835</v>
      </c>
      <c r="Q145" s="5" t="s">
        <v>836</v>
      </c>
      <c r="R145" s="5">
        <v>9491120882</v>
      </c>
    </row>
    <row r="146" spans="1:18" ht="15" thickBot="1">
      <c r="A146" s="4" t="s">
        <v>837</v>
      </c>
      <c r="B146" s="5" t="s">
        <v>19</v>
      </c>
      <c r="C146" s="5" t="s">
        <v>20</v>
      </c>
      <c r="D146" s="5" t="s">
        <v>21</v>
      </c>
      <c r="E146" s="5" t="s">
        <v>22</v>
      </c>
      <c r="F146" s="5">
        <v>8007696417</v>
      </c>
      <c r="G146" s="5" t="s">
        <v>357</v>
      </c>
      <c r="H146" s="5" t="s">
        <v>358</v>
      </c>
      <c r="I146" s="5">
        <v>8930909315</v>
      </c>
      <c r="J146" s="5" t="s">
        <v>359</v>
      </c>
      <c r="K146" s="5" t="s">
        <v>360</v>
      </c>
      <c r="L146" s="5">
        <v>8690056113</v>
      </c>
      <c r="M146" s="5" t="s">
        <v>838</v>
      </c>
      <c r="N146" s="5" t="s">
        <v>839</v>
      </c>
      <c r="O146" s="5">
        <v>9724030383</v>
      </c>
      <c r="P146" s="6"/>
      <c r="Q146" s="6"/>
      <c r="R146" s="6"/>
    </row>
    <row r="147" spans="1:18" ht="15" thickBot="1">
      <c r="A147" s="4" t="s">
        <v>840</v>
      </c>
      <c r="B147" s="5" t="s">
        <v>19</v>
      </c>
      <c r="C147" s="5" t="s">
        <v>20</v>
      </c>
      <c r="D147" s="5" t="s">
        <v>49</v>
      </c>
      <c r="E147" s="5" t="s">
        <v>50</v>
      </c>
      <c r="F147" s="5">
        <v>9004551388</v>
      </c>
      <c r="G147" s="5" t="s">
        <v>209</v>
      </c>
      <c r="H147" s="5" t="s">
        <v>210</v>
      </c>
      <c r="I147" s="5">
        <v>9413978081</v>
      </c>
      <c r="J147" s="5" t="s">
        <v>841</v>
      </c>
      <c r="K147" s="5" t="s">
        <v>842</v>
      </c>
      <c r="L147" s="5">
        <v>7877868720</v>
      </c>
      <c r="M147" s="6"/>
      <c r="N147" s="6"/>
      <c r="O147" s="6"/>
      <c r="P147" s="6"/>
      <c r="Q147" s="6"/>
      <c r="R147" s="6"/>
    </row>
    <row r="148" spans="1:18" ht="15" thickBot="1">
      <c r="A148" s="4" t="s">
        <v>843</v>
      </c>
      <c r="B148" s="5" t="s">
        <v>102</v>
      </c>
      <c r="C148" s="5" t="s">
        <v>20</v>
      </c>
      <c r="D148" s="5" t="s">
        <v>234</v>
      </c>
      <c r="E148" s="5" t="s">
        <v>235</v>
      </c>
      <c r="F148" s="5">
        <v>8591391390</v>
      </c>
      <c r="G148" s="5" t="s">
        <v>647</v>
      </c>
      <c r="H148" s="5" t="s">
        <v>648</v>
      </c>
      <c r="I148" s="5">
        <v>8588041335</v>
      </c>
      <c r="J148" s="5" t="s">
        <v>844</v>
      </c>
      <c r="K148" s="5" t="s">
        <v>845</v>
      </c>
      <c r="L148" s="5">
        <v>8173086829</v>
      </c>
      <c r="M148" s="5" t="s">
        <v>846</v>
      </c>
      <c r="N148" s="5" t="s">
        <v>847</v>
      </c>
      <c r="O148" s="5">
        <v>8299178319</v>
      </c>
      <c r="P148" s="6"/>
      <c r="Q148" s="6"/>
      <c r="R148" s="6"/>
    </row>
    <row r="149" spans="1:18" ht="15" thickBot="1">
      <c r="A149" s="4" t="s">
        <v>848</v>
      </c>
      <c r="B149" s="5" t="s">
        <v>30</v>
      </c>
      <c r="C149" s="5" t="s">
        <v>20</v>
      </c>
      <c r="D149" s="5" t="s">
        <v>31</v>
      </c>
      <c r="E149" s="5" t="s">
        <v>32</v>
      </c>
      <c r="F149" s="5" t="s">
        <v>33</v>
      </c>
      <c r="G149" s="5" t="s">
        <v>42</v>
      </c>
      <c r="H149" s="5" t="s">
        <v>43</v>
      </c>
      <c r="I149" s="5">
        <v>6363387963</v>
      </c>
      <c r="J149" s="5" t="s">
        <v>849</v>
      </c>
      <c r="K149" s="5" t="s">
        <v>850</v>
      </c>
      <c r="L149" s="5" t="s">
        <v>851</v>
      </c>
      <c r="M149" s="6"/>
      <c r="N149" s="5" t="s">
        <v>852</v>
      </c>
      <c r="O149" s="5">
        <v>9511785864</v>
      </c>
      <c r="P149" s="6"/>
      <c r="Q149" s="6"/>
      <c r="R149" s="6"/>
    </row>
    <row r="150" spans="1:18" ht="15" thickBot="1">
      <c r="A150" s="10" t="s">
        <v>853</v>
      </c>
      <c r="B150" s="11" t="s">
        <v>19</v>
      </c>
      <c r="C150" s="11" t="s">
        <v>67</v>
      </c>
      <c r="D150" s="11" t="s">
        <v>49</v>
      </c>
      <c r="E150" s="11" t="s">
        <v>50</v>
      </c>
      <c r="F150" s="11">
        <v>9004551388</v>
      </c>
      <c r="G150" s="11" t="s">
        <v>302</v>
      </c>
      <c r="H150" s="11" t="s">
        <v>303</v>
      </c>
      <c r="I150" s="11">
        <v>8806659691</v>
      </c>
      <c r="J150" s="13"/>
      <c r="K150" s="13"/>
      <c r="L150" s="13"/>
      <c r="M150" s="13"/>
      <c r="N150" s="13"/>
      <c r="O150" s="13"/>
      <c r="P150" s="13"/>
      <c r="Q150" s="13"/>
      <c r="R150" s="13"/>
    </row>
    <row r="151" spans="1:18" ht="15" thickBot="1">
      <c r="A151" s="4" t="s">
        <v>854</v>
      </c>
      <c r="B151" s="5" t="s">
        <v>102</v>
      </c>
      <c r="C151" s="5" t="s">
        <v>20</v>
      </c>
      <c r="D151" s="5" t="s">
        <v>110</v>
      </c>
      <c r="E151" s="5" t="s">
        <v>111</v>
      </c>
      <c r="F151" s="5">
        <v>9582713760</v>
      </c>
      <c r="G151" s="5" t="s">
        <v>140</v>
      </c>
      <c r="H151" s="5" t="s">
        <v>141</v>
      </c>
      <c r="I151" s="5">
        <v>8527384707</v>
      </c>
      <c r="J151" s="8" t="s">
        <v>855</v>
      </c>
      <c r="K151" s="14" t="s">
        <v>856</v>
      </c>
      <c r="L151" s="8">
        <v>7078370856</v>
      </c>
      <c r="M151" s="5" t="s">
        <v>857</v>
      </c>
      <c r="N151" s="5" t="s">
        <v>858</v>
      </c>
      <c r="O151" s="16">
        <v>8950644771</v>
      </c>
      <c r="P151" s="6"/>
      <c r="Q151" s="6"/>
      <c r="R151" s="6"/>
    </row>
    <row r="152" spans="1:18" ht="15" thickBot="1">
      <c r="A152" s="4" t="s">
        <v>859</v>
      </c>
      <c r="B152" s="5" t="s">
        <v>19</v>
      </c>
      <c r="C152" s="5" t="s">
        <v>20</v>
      </c>
      <c r="D152" s="5" t="s">
        <v>21</v>
      </c>
      <c r="E152" s="5" t="s">
        <v>22</v>
      </c>
      <c r="F152" s="5">
        <v>8007696417</v>
      </c>
      <c r="G152" s="5" t="s">
        <v>350</v>
      </c>
      <c r="H152" s="5" t="s">
        <v>351</v>
      </c>
      <c r="I152" s="5">
        <v>7698837388</v>
      </c>
      <c r="J152" s="5" t="s">
        <v>160</v>
      </c>
      <c r="K152" s="5" t="s">
        <v>656</v>
      </c>
      <c r="L152" s="5">
        <v>9898244977</v>
      </c>
      <c r="M152" s="5" t="s">
        <v>654</v>
      </c>
      <c r="N152" s="5" t="s">
        <v>655</v>
      </c>
      <c r="O152" s="5">
        <v>9168377043</v>
      </c>
      <c r="P152" s="6"/>
      <c r="Q152" s="6"/>
      <c r="R152" s="6"/>
    </row>
    <row r="153" spans="1:18" ht="15" thickBot="1">
      <c r="A153" s="4" t="s">
        <v>860</v>
      </c>
      <c r="B153" s="5" t="s">
        <v>30</v>
      </c>
      <c r="C153" s="5" t="s">
        <v>20</v>
      </c>
      <c r="D153" s="5" t="s">
        <v>31</v>
      </c>
      <c r="E153" s="5" t="s">
        <v>32</v>
      </c>
      <c r="F153" s="5" t="s">
        <v>33</v>
      </c>
      <c r="G153" s="5" t="s">
        <v>590</v>
      </c>
      <c r="H153" s="5" t="s">
        <v>591</v>
      </c>
      <c r="I153" s="5">
        <v>8074125321</v>
      </c>
      <c r="J153" s="5" t="s">
        <v>861</v>
      </c>
      <c r="K153" s="5" t="s">
        <v>862</v>
      </c>
      <c r="L153" s="5">
        <v>8121722331</v>
      </c>
      <c r="M153" s="5" t="s">
        <v>863</v>
      </c>
      <c r="N153" s="5" t="s">
        <v>864</v>
      </c>
      <c r="O153" s="5">
        <v>8247226013</v>
      </c>
      <c r="P153" s="6"/>
      <c r="Q153" s="6"/>
      <c r="R153" s="6"/>
    </row>
    <row r="154" spans="1:18" ht="15" thickBot="1">
      <c r="A154" s="4" t="s">
        <v>865</v>
      </c>
      <c r="B154" s="5" t="s">
        <v>30</v>
      </c>
      <c r="C154" s="5" t="s">
        <v>20</v>
      </c>
      <c r="D154" s="5" t="s">
        <v>31</v>
      </c>
      <c r="E154" s="5" t="s">
        <v>32</v>
      </c>
      <c r="F154" s="5" t="s">
        <v>33</v>
      </c>
      <c r="G154" s="5" t="s">
        <v>92</v>
      </c>
      <c r="H154" s="5" t="s">
        <v>93</v>
      </c>
      <c r="I154" s="5">
        <v>7358110674</v>
      </c>
      <c r="J154" s="5" t="s">
        <v>866</v>
      </c>
      <c r="K154" s="5" t="s">
        <v>867</v>
      </c>
      <c r="L154" s="5">
        <v>6381376935</v>
      </c>
      <c r="M154" s="6"/>
      <c r="N154" s="5" t="s">
        <v>868</v>
      </c>
      <c r="O154" s="5">
        <v>9080870413</v>
      </c>
      <c r="P154" s="6"/>
      <c r="Q154" s="6"/>
      <c r="R154" s="6"/>
    </row>
    <row r="155" spans="1:18" ht="15" thickBot="1">
      <c r="A155" s="4" t="s">
        <v>869</v>
      </c>
      <c r="B155" s="5" t="s">
        <v>102</v>
      </c>
      <c r="C155" s="5" t="s">
        <v>20</v>
      </c>
      <c r="D155" s="5" t="s">
        <v>103</v>
      </c>
      <c r="E155" s="5" t="s">
        <v>104</v>
      </c>
      <c r="F155" s="5">
        <v>8097928258</v>
      </c>
      <c r="G155" s="5" t="s">
        <v>150</v>
      </c>
      <c r="H155" s="5" t="s">
        <v>151</v>
      </c>
      <c r="I155" s="5">
        <v>6388563799</v>
      </c>
      <c r="J155" s="5" t="s">
        <v>870</v>
      </c>
      <c r="K155" s="5" t="s">
        <v>871</v>
      </c>
      <c r="L155" s="5">
        <v>9649306441</v>
      </c>
      <c r="M155" s="5" t="s">
        <v>114</v>
      </c>
      <c r="N155" s="5" t="s">
        <v>872</v>
      </c>
      <c r="O155" s="5">
        <v>9507747197</v>
      </c>
      <c r="P155" s="6"/>
      <c r="Q155" s="6"/>
      <c r="R155" s="6"/>
    </row>
    <row r="156" spans="1:18" ht="15" thickBot="1">
      <c r="A156" s="4" t="s">
        <v>873</v>
      </c>
      <c r="B156" s="5" t="s">
        <v>30</v>
      </c>
      <c r="C156" s="5" t="s">
        <v>20</v>
      </c>
      <c r="D156" s="5" t="s">
        <v>31</v>
      </c>
      <c r="E156" s="5" t="s">
        <v>32</v>
      </c>
      <c r="F156" s="5" t="s">
        <v>33</v>
      </c>
      <c r="G156" s="5" t="s">
        <v>243</v>
      </c>
      <c r="H156" s="5" t="s">
        <v>244</v>
      </c>
      <c r="I156" s="5">
        <v>8129603774</v>
      </c>
      <c r="J156" s="5" t="s">
        <v>874</v>
      </c>
      <c r="K156" s="5" t="s">
        <v>875</v>
      </c>
      <c r="L156" s="5">
        <v>9995305036</v>
      </c>
      <c r="M156" s="8" t="s">
        <v>876</v>
      </c>
      <c r="N156" s="8" t="s">
        <v>877</v>
      </c>
      <c r="O156" s="8">
        <v>8129392273</v>
      </c>
      <c r="P156" s="6"/>
      <c r="Q156" s="6"/>
      <c r="R156" s="6"/>
    </row>
    <row r="157" spans="1:18" ht="15" thickBot="1">
      <c r="A157" s="4" t="s">
        <v>878</v>
      </c>
      <c r="B157" s="5" t="s">
        <v>19</v>
      </c>
      <c r="C157" s="5" t="s">
        <v>20</v>
      </c>
      <c r="D157" s="5" t="s">
        <v>21</v>
      </c>
      <c r="E157" s="5" t="s">
        <v>22</v>
      </c>
      <c r="F157" s="5">
        <v>8007696417</v>
      </c>
      <c r="G157" s="5" t="s">
        <v>365</v>
      </c>
      <c r="H157" s="5" t="s">
        <v>366</v>
      </c>
      <c r="I157" s="5">
        <v>7016450894</v>
      </c>
      <c r="J157" s="5" t="s">
        <v>458</v>
      </c>
      <c r="K157" s="5" t="s">
        <v>459</v>
      </c>
      <c r="L157" s="5">
        <v>7900856570</v>
      </c>
      <c r="M157" s="6"/>
      <c r="N157" s="6"/>
      <c r="O157" s="6"/>
      <c r="P157" s="6"/>
      <c r="Q157" s="6"/>
      <c r="R157" s="6"/>
    </row>
    <row r="158" spans="1:18" ht="15" thickBot="1">
      <c r="A158" s="4" t="s">
        <v>879</v>
      </c>
      <c r="B158" s="5" t="s">
        <v>102</v>
      </c>
      <c r="C158" s="5" t="s">
        <v>20</v>
      </c>
      <c r="D158" s="5" t="s">
        <v>103</v>
      </c>
      <c r="E158" s="5" t="s">
        <v>104</v>
      </c>
      <c r="F158" s="5">
        <v>8097928258</v>
      </c>
      <c r="G158" s="5" t="s">
        <v>155</v>
      </c>
      <c r="H158" s="5" t="s">
        <v>156</v>
      </c>
      <c r="I158" s="5">
        <v>9266806499</v>
      </c>
      <c r="J158" s="5" t="s">
        <v>880</v>
      </c>
      <c r="K158" s="5" t="s">
        <v>881</v>
      </c>
      <c r="L158" s="5">
        <v>9461045650</v>
      </c>
      <c r="M158" s="5" t="s">
        <v>817</v>
      </c>
      <c r="N158" s="5" t="s">
        <v>882</v>
      </c>
      <c r="O158" s="5">
        <v>6393953757</v>
      </c>
      <c r="P158" s="6"/>
      <c r="Q158" s="6"/>
      <c r="R158" s="6"/>
    </row>
    <row r="159" spans="1:18" ht="15" thickBot="1">
      <c r="A159" s="4" t="s">
        <v>883</v>
      </c>
      <c r="B159" s="5" t="s">
        <v>30</v>
      </c>
      <c r="C159" s="5" t="s">
        <v>20</v>
      </c>
      <c r="D159" s="5" t="s">
        <v>31</v>
      </c>
      <c r="E159" s="5" t="s">
        <v>32</v>
      </c>
      <c r="F159" s="5" t="s">
        <v>33</v>
      </c>
      <c r="G159" s="5" t="s">
        <v>487</v>
      </c>
      <c r="H159" s="5" t="s">
        <v>488</v>
      </c>
      <c r="I159" s="5">
        <v>9994448658</v>
      </c>
      <c r="J159" s="5" t="s">
        <v>884</v>
      </c>
      <c r="K159" s="5" t="s">
        <v>885</v>
      </c>
      <c r="L159" s="5">
        <v>7867882166</v>
      </c>
      <c r="M159" s="5" t="s">
        <v>886</v>
      </c>
      <c r="N159" s="5" t="s">
        <v>887</v>
      </c>
      <c r="O159" s="5">
        <v>8056200304</v>
      </c>
      <c r="P159" s="5" t="s">
        <v>500</v>
      </c>
      <c r="Q159" s="5" t="s">
        <v>888</v>
      </c>
      <c r="R159" s="5" t="s">
        <v>889</v>
      </c>
    </row>
    <row r="160" spans="1:18" ht="15" thickBot="1">
      <c r="A160" s="4" t="s">
        <v>890</v>
      </c>
      <c r="B160" s="5" t="s">
        <v>30</v>
      </c>
      <c r="C160" s="5" t="s">
        <v>20</v>
      </c>
      <c r="D160" s="5" t="s">
        <v>31</v>
      </c>
      <c r="E160" s="5" t="s">
        <v>32</v>
      </c>
      <c r="F160" s="5" t="s">
        <v>33</v>
      </c>
      <c r="G160" s="5" t="s">
        <v>34</v>
      </c>
      <c r="H160" s="5" t="s">
        <v>35</v>
      </c>
      <c r="I160" s="5">
        <v>9497320464</v>
      </c>
      <c r="J160" s="5" t="s">
        <v>891</v>
      </c>
      <c r="K160" s="5" t="s">
        <v>892</v>
      </c>
      <c r="L160" s="5">
        <v>7867882166</v>
      </c>
      <c r="M160" s="5" t="s">
        <v>893</v>
      </c>
      <c r="N160" s="5" t="s">
        <v>894</v>
      </c>
      <c r="O160" s="5">
        <v>7077134213</v>
      </c>
      <c r="P160" s="6"/>
      <c r="Q160" s="5" t="s">
        <v>895</v>
      </c>
      <c r="R160" s="5">
        <v>9901443741</v>
      </c>
    </row>
    <row r="161" spans="1:18" ht="15" thickBot="1">
      <c r="A161" s="4" t="s">
        <v>896</v>
      </c>
      <c r="B161" s="5" t="s">
        <v>102</v>
      </c>
      <c r="C161" s="5" t="s">
        <v>20</v>
      </c>
      <c r="D161" s="5" t="s">
        <v>234</v>
      </c>
      <c r="E161" s="5" t="s">
        <v>235</v>
      </c>
      <c r="F161" s="5">
        <v>8591391390</v>
      </c>
      <c r="G161" s="5" t="s">
        <v>665</v>
      </c>
      <c r="H161" s="5" t="s">
        <v>666</v>
      </c>
      <c r="I161" s="5">
        <v>9858705037</v>
      </c>
      <c r="J161" s="5" t="s">
        <v>897</v>
      </c>
      <c r="K161" s="5" t="s">
        <v>898</v>
      </c>
      <c r="L161" s="5">
        <v>6284219612</v>
      </c>
      <c r="M161" s="37" t="s">
        <v>899</v>
      </c>
      <c r="N161" s="37" t="s">
        <v>900</v>
      </c>
      <c r="O161" s="5" t="s">
        <v>901</v>
      </c>
      <c r="P161" s="6"/>
      <c r="Q161" s="6"/>
      <c r="R161" s="6"/>
    </row>
    <row r="162" spans="1:18" ht="15" thickBot="1">
      <c r="A162" s="10" t="s">
        <v>902</v>
      </c>
      <c r="B162" s="11" t="s">
        <v>77</v>
      </c>
      <c r="C162" s="11" t="s">
        <v>67</v>
      </c>
      <c r="D162" s="11" t="s">
        <v>78</v>
      </c>
      <c r="E162" s="11" t="s">
        <v>79</v>
      </c>
      <c r="F162" s="11">
        <v>7001020075</v>
      </c>
      <c r="G162" s="11" t="s">
        <v>169</v>
      </c>
      <c r="H162" s="11" t="s">
        <v>170</v>
      </c>
      <c r="I162" s="11">
        <v>6000836880</v>
      </c>
      <c r="J162" s="13"/>
      <c r="K162" s="13"/>
      <c r="L162" s="13"/>
      <c r="M162" s="13"/>
      <c r="N162" s="13"/>
      <c r="O162" s="13"/>
      <c r="P162" s="13"/>
      <c r="Q162" s="13"/>
      <c r="R162" s="13"/>
    </row>
    <row r="163" spans="1:18" ht="15" thickBot="1">
      <c r="A163" s="4" t="s">
        <v>903</v>
      </c>
      <c r="B163" s="5" t="s">
        <v>19</v>
      </c>
      <c r="C163" s="5" t="s">
        <v>20</v>
      </c>
      <c r="D163" s="5" t="s">
        <v>49</v>
      </c>
      <c r="E163" s="5" t="s">
        <v>50</v>
      </c>
      <c r="F163" s="5">
        <v>9004551388</v>
      </c>
      <c r="G163" s="5" t="s">
        <v>59</v>
      </c>
      <c r="H163" s="5" t="s">
        <v>565</v>
      </c>
      <c r="I163" s="5">
        <v>9969276834</v>
      </c>
      <c r="J163" s="5" t="s">
        <v>904</v>
      </c>
      <c r="K163" s="5" t="s">
        <v>905</v>
      </c>
      <c r="L163" s="5">
        <v>9653282698</v>
      </c>
      <c r="M163" s="5" t="s">
        <v>906</v>
      </c>
      <c r="N163" s="5" t="s">
        <v>907</v>
      </c>
      <c r="O163" s="5">
        <v>8888947833</v>
      </c>
      <c r="P163" s="6"/>
      <c r="Q163" s="6"/>
      <c r="R163" s="6"/>
    </row>
    <row r="164" spans="1:18" ht="15" thickBot="1">
      <c r="A164" s="4" t="s">
        <v>908</v>
      </c>
      <c r="B164" s="5" t="s">
        <v>102</v>
      </c>
      <c r="C164" s="5" t="s">
        <v>20</v>
      </c>
      <c r="D164" s="5" t="s">
        <v>110</v>
      </c>
      <c r="E164" s="5" t="s">
        <v>111</v>
      </c>
      <c r="F164" s="5">
        <v>9582713760</v>
      </c>
      <c r="G164" s="5" t="s">
        <v>597</v>
      </c>
      <c r="H164" s="5" t="s">
        <v>598</v>
      </c>
      <c r="I164" s="5">
        <v>9871651231</v>
      </c>
      <c r="J164" s="5" t="s">
        <v>909</v>
      </c>
      <c r="K164" s="5" t="s">
        <v>910</v>
      </c>
      <c r="L164" s="5">
        <v>9649470393</v>
      </c>
      <c r="M164" s="5" t="s">
        <v>911</v>
      </c>
      <c r="N164" s="5" t="s">
        <v>912</v>
      </c>
      <c r="O164" s="5">
        <v>9521734046</v>
      </c>
      <c r="P164" s="6"/>
      <c r="Q164" s="6"/>
      <c r="R164" s="6"/>
    </row>
    <row r="165" spans="1:18" ht="15" thickBot="1">
      <c r="A165" s="4" t="s">
        <v>913</v>
      </c>
      <c r="B165" s="5" t="s">
        <v>102</v>
      </c>
      <c r="C165" s="5" t="s">
        <v>20</v>
      </c>
      <c r="D165" s="5" t="s">
        <v>103</v>
      </c>
      <c r="E165" s="5" t="s">
        <v>104</v>
      </c>
      <c r="F165" s="5">
        <v>8097928258</v>
      </c>
      <c r="G165" s="5" t="s">
        <v>150</v>
      </c>
      <c r="H165" s="5" t="s">
        <v>151</v>
      </c>
      <c r="I165" s="5">
        <v>6388563799</v>
      </c>
      <c r="J165" s="5" t="s">
        <v>914</v>
      </c>
      <c r="K165" s="28" t="s">
        <v>915</v>
      </c>
      <c r="L165" s="5">
        <v>8745843744</v>
      </c>
      <c r="M165" s="5" t="s">
        <v>916</v>
      </c>
      <c r="N165" s="5" t="s">
        <v>917</v>
      </c>
      <c r="O165" s="5">
        <v>6387278620</v>
      </c>
      <c r="P165" s="6"/>
      <c r="Q165" s="6"/>
      <c r="R165" s="6"/>
    </row>
    <row r="166" spans="1:18" ht="15" thickBot="1">
      <c r="A166" s="4" t="s">
        <v>918</v>
      </c>
      <c r="B166" s="5" t="s">
        <v>102</v>
      </c>
      <c r="C166" s="5" t="s">
        <v>20</v>
      </c>
      <c r="D166" s="5" t="s">
        <v>234</v>
      </c>
      <c r="E166" s="5" t="s">
        <v>235</v>
      </c>
      <c r="F166" s="5">
        <v>8591391390</v>
      </c>
      <c r="G166" s="5" t="s">
        <v>647</v>
      </c>
      <c r="H166" s="5" t="s">
        <v>648</v>
      </c>
      <c r="I166" s="5">
        <v>8588041335</v>
      </c>
      <c r="J166" s="5" t="s">
        <v>919</v>
      </c>
      <c r="K166" s="5" t="s">
        <v>920</v>
      </c>
      <c r="L166" s="5">
        <v>7899868644</v>
      </c>
      <c r="M166" s="5" t="s">
        <v>921</v>
      </c>
      <c r="N166" s="5" t="s">
        <v>652</v>
      </c>
      <c r="O166" s="5">
        <v>8896214274</v>
      </c>
      <c r="P166" s="6"/>
      <c r="Q166" s="6"/>
      <c r="R166" s="6"/>
    </row>
    <row r="167" spans="1:18" ht="15" thickBot="1">
      <c r="A167" s="4" t="s">
        <v>922</v>
      </c>
      <c r="B167" s="5" t="s">
        <v>102</v>
      </c>
      <c r="C167" s="5" t="s">
        <v>20</v>
      </c>
      <c r="D167" s="5" t="s">
        <v>234</v>
      </c>
      <c r="E167" s="5" t="s">
        <v>235</v>
      </c>
      <c r="F167" s="5">
        <v>8591391390</v>
      </c>
      <c r="G167" s="5" t="s">
        <v>583</v>
      </c>
      <c r="H167" s="5" t="s">
        <v>584</v>
      </c>
      <c r="I167" s="5">
        <v>7500636152</v>
      </c>
      <c r="J167" s="5" t="s">
        <v>923</v>
      </c>
      <c r="K167" s="5" t="s">
        <v>924</v>
      </c>
      <c r="L167" s="5">
        <v>8448028290</v>
      </c>
      <c r="M167" s="6"/>
      <c r="N167" s="6"/>
      <c r="O167" s="6"/>
      <c r="P167" s="6"/>
      <c r="Q167" s="6"/>
      <c r="R167" s="6"/>
    </row>
    <row r="168" spans="1:18" ht="15" thickBot="1">
      <c r="A168" s="4" t="s">
        <v>925</v>
      </c>
      <c r="B168" s="5" t="s">
        <v>19</v>
      </c>
      <c r="C168" s="5" t="s">
        <v>20</v>
      </c>
      <c r="D168" s="5" t="s">
        <v>21</v>
      </c>
      <c r="E168" s="5" t="s">
        <v>22</v>
      </c>
      <c r="F168" s="5">
        <v>8007696417</v>
      </c>
      <c r="G168" s="5" t="s">
        <v>357</v>
      </c>
      <c r="H168" s="5" t="s">
        <v>358</v>
      </c>
      <c r="I168" s="5">
        <v>8930909315</v>
      </c>
      <c r="J168" s="5" t="s">
        <v>926</v>
      </c>
      <c r="K168" s="5" t="s">
        <v>927</v>
      </c>
      <c r="L168" s="5">
        <v>8866206371</v>
      </c>
      <c r="M168" s="5" t="s">
        <v>372</v>
      </c>
      <c r="N168" s="5" t="s">
        <v>373</v>
      </c>
      <c r="O168" s="5" t="s">
        <v>374</v>
      </c>
      <c r="P168" s="6"/>
      <c r="Q168" s="6"/>
      <c r="R168" s="6"/>
    </row>
    <row r="169" spans="1:18" ht="15" thickBot="1">
      <c r="A169" s="4" t="s">
        <v>928</v>
      </c>
      <c r="B169" s="5" t="s">
        <v>102</v>
      </c>
      <c r="C169" s="5" t="s">
        <v>20</v>
      </c>
      <c r="D169" s="5" t="s">
        <v>234</v>
      </c>
      <c r="E169" s="5" t="s">
        <v>235</v>
      </c>
      <c r="F169" s="5">
        <v>8591391390</v>
      </c>
      <c r="G169" s="5" t="s">
        <v>665</v>
      </c>
      <c r="H169" s="5" t="s">
        <v>666</v>
      </c>
      <c r="I169" s="5">
        <v>9878705037</v>
      </c>
      <c r="J169" s="5" t="s">
        <v>929</v>
      </c>
      <c r="K169" s="5" t="s">
        <v>668</v>
      </c>
      <c r="L169" s="5">
        <v>8901471039</v>
      </c>
      <c r="M169" s="5" t="s">
        <v>930</v>
      </c>
      <c r="N169" s="5" t="s">
        <v>931</v>
      </c>
      <c r="O169" s="5">
        <v>9501875303</v>
      </c>
      <c r="P169" s="6"/>
      <c r="Q169" s="6"/>
      <c r="R169" s="6"/>
    </row>
    <row r="170" spans="1:18" ht="15" thickBot="1">
      <c r="A170" s="4" t="s">
        <v>932</v>
      </c>
      <c r="B170" s="5" t="s">
        <v>19</v>
      </c>
      <c r="C170" s="5" t="s">
        <v>20</v>
      </c>
      <c r="D170" s="5" t="s">
        <v>49</v>
      </c>
      <c r="E170" s="5" t="s">
        <v>50</v>
      </c>
      <c r="F170" s="5">
        <v>9004551388</v>
      </c>
      <c r="G170" s="5" t="s">
        <v>59</v>
      </c>
      <c r="H170" s="5" t="s">
        <v>565</v>
      </c>
      <c r="I170" s="5">
        <v>9969276834</v>
      </c>
      <c r="J170" s="5" t="s">
        <v>933</v>
      </c>
      <c r="K170" s="5" t="s">
        <v>569</v>
      </c>
      <c r="L170" s="5">
        <v>9021190556</v>
      </c>
      <c r="M170" s="6"/>
      <c r="N170" s="6"/>
      <c r="O170" s="6"/>
      <c r="P170" s="6"/>
      <c r="Q170" s="6"/>
      <c r="R170" s="6"/>
    </row>
    <row r="171" spans="1:18" ht="15" thickBot="1">
      <c r="A171" s="4" t="s">
        <v>934</v>
      </c>
      <c r="B171" s="5" t="s">
        <v>19</v>
      </c>
      <c r="C171" s="5" t="s">
        <v>20</v>
      </c>
      <c r="D171" s="5" t="s">
        <v>49</v>
      </c>
      <c r="E171" s="5" t="s">
        <v>50</v>
      </c>
      <c r="F171" s="5">
        <v>9004551388</v>
      </c>
      <c r="G171" s="5" t="s">
        <v>282</v>
      </c>
      <c r="H171" s="5" t="s">
        <v>283</v>
      </c>
      <c r="I171" s="5" t="s">
        <v>284</v>
      </c>
      <c r="J171" s="5" t="s">
        <v>935</v>
      </c>
      <c r="K171" s="5" t="s">
        <v>936</v>
      </c>
      <c r="L171" s="5">
        <v>9923610103</v>
      </c>
      <c r="M171" s="5" t="s">
        <v>306</v>
      </c>
      <c r="N171" s="5" t="s">
        <v>307</v>
      </c>
      <c r="O171" s="5">
        <v>7875979020</v>
      </c>
      <c r="P171" s="5" t="s">
        <v>937</v>
      </c>
      <c r="Q171" s="5" t="s">
        <v>938</v>
      </c>
      <c r="R171" s="5">
        <v>9860083678</v>
      </c>
    </row>
    <row r="172" spans="1:18" ht="15" thickBot="1">
      <c r="A172" s="4" t="s">
        <v>939</v>
      </c>
      <c r="B172" s="5" t="s">
        <v>19</v>
      </c>
      <c r="C172" s="5" t="s">
        <v>20</v>
      </c>
      <c r="D172" s="5" t="s">
        <v>21</v>
      </c>
      <c r="E172" s="5" t="s">
        <v>22</v>
      </c>
      <c r="F172" s="5">
        <v>8007696417</v>
      </c>
      <c r="G172" s="5" t="s">
        <v>23</v>
      </c>
      <c r="H172" s="5" t="s">
        <v>24</v>
      </c>
      <c r="I172" s="5">
        <v>8160593572</v>
      </c>
      <c r="J172" s="5" t="s">
        <v>27</v>
      </c>
      <c r="K172" s="5" t="s">
        <v>936</v>
      </c>
      <c r="L172" s="5" t="s">
        <v>940</v>
      </c>
      <c r="M172" s="6"/>
      <c r="N172" s="6"/>
      <c r="O172" s="6"/>
      <c r="P172" s="6"/>
      <c r="Q172" s="6"/>
      <c r="R172" s="6"/>
    </row>
    <row r="173" spans="1:18" ht="15" thickBot="1">
      <c r="A173" s="4" t="s">
        <v>941</v>
      </c>
      <c r="B173" s="5" t="s">
        <v>19</v>
      </c>
      <c r="C173" s="5" t="s">
        <v>20</v>
      </c>
      <c r="D173" s="5" t="s">
        <v>49</v>
      </c>
      <c r="E173" s="5" t="s">
        <v>50</v>
      </c>
      <c r="F173" s="5">
        <v>9004551388</v>
      </c>
      <c r="G173" s="5" t="s">
        <v>68</v>
      </c>
      <c r="H173" s="5" t="s">
        <v>69</v>
      </c>
      <c r="I173" s="5">
        <v>7024477807</v>
      </c>
      <c r="J173" s="5" t="s">
        <v>802</v>
      </c>
      <c r="K173" s="5" t="s">
        <v>803</v>
      </c>
      <c r="L173" s="5">
        <v>9301528602</v>
      </c>
      <c r="M173" s="5" t="s">
        <v>942</v>
      </c>
      <c r="N173" s="5" t="s">
        <v>943</v>
      </c>
      <c r="O173" s="5">
        <v>8483900198</v>
      </c>
      <c r="P173" s="5" t="s">
        <v>944</v>
      </c>
      <c r="Q173" s="5" t="s">
        <v>71</v>
      </c>
      <c r="R173" s="5">
        <v>8591085838</v>
      </c>
    </row>
    <row r="174" spans="1:18" ht="15" thickBot="1">
      <c r="A174" s="4" t="s">
        <v>945</v>
      </c>
      <c r="B174" s="5" t="s">
        <v>77</v>
      </c>
      <c r="C174" s="5" t="s">
        <v>20</v>
      </c>
      <c r="D174" s="5" t="s">
        <v>78</v>
      </c>
      <c r="E174" s="5" t="s">
        <v>79</v>
      </c>
      <c r="F174" s="5">
        <v>7001020075</v>
      </c>
      <c r="G174" s="5" t="s">
        <v>187</v>
      </c>
      <c r="H174" s="5" t="s">
        <v>188</v>
      </c>
      <c r="I174" s="5">
        <v>7001483429</v>
      </c>
      <c r="J174" s="5" t="s">
        <v>189</v>
      </c>
      <c r="K174" s="5" t="s">
        <v>190</v>
      </c>
      <c r="L174" s="5">
        <v>6294745548</v>
      </c>
      <c r="M174" s="5" t="s">
        <v>191</v>
      </c>
      <c r="N174" s="5" t="s">
        <v>192</v>
      </c>
      <c r="O174" s="5" t="s">
        <v>193</v>
      </c>
      <c r="P174" s="6"/>
      <c r="Q174" s="6"/>
      <c r="R174" s="6"/>
    </row>
    <row r="175" spans="1:18" ht="15" thickBot="1">
      <c r="A175" s="4" t="s">
        <v>946</v>
      </c>
      <c r="B175" s="5" t="s">
        <v>19</v>
      </c>
      <c r="C175" s="5" t="s">
        <v>20</v>
      </c>
      <c r="D175" s="5" t="s">
        <v>49</v>
      </c>
      <c r="E175" s="5" t="s">
        <v>50</v>
      </c>
      <c r="F175" s="5">
        <v>9004551388</v>
      </c>
      <c r="G175" s="5" t="s">
        <v>209</v>
      </c>
      <c r="H175" s="5" t="s">
        <v>210</v>
      </c>
      <c r="I175" s="5">
        <v>9413978081</v>
      </c>
      <c r="J175" s="5" t="s">
        <v>466</v>
      </c>
      <c r="K175" s="5" t="s">
        <v>467</v>
      </c>
      <c r="L175" s="5">
        <v>9898715522</v>
      </c>
      <c r="M175" s="6"/>
      <c r="N175" s="6"/>
      <c r="O175" s="6"/>
      <c r="P175" s="6"/>
      <c r="Q175" s="6"/>
      <c r="R175" s="6"/>
    </row>
    <row r="176" spans="1:18" ht="15" thickBot="1">
      <c r="A176" s="4" t="s">
        <v>947</v>
      </c>
      <c r="B176" s="5" t="s">
        <v>19</v>
      </c>
      <c r="C176" s="5" t="s">
        <v>20</v>
      </c>
      <c r="D176" s="5" t="s">
        <v>49</v>
      </c>
      <c r="E176" s="5" t="s">
        <v>50</v>
      </c>
      <c r="F176" s="5">
        <v>9004551388</v>
      </c>
      <c r="G176" s="5" t="s">
        <v>680</v>
      </c>
      <c r="H176" s="5" t="s">
        <v>681</v>
      </c>
      <c r="I176" s="5">
        <v>9712948673</v>
      </c>
      <c r="J176" s="5" t="s">
        <v>948</v>
      </c>
      <c r="K176" s="5" t="s">
        <v>442</v>
      </c>
      <c r="L176" s="5">
        <v>8429844413</v>
      </c>
      <c r="M176" s="5" t="s">
        <v>949</v>
      </c>
      <c r="N176" s="5" t="s">
        <v>446</v>
      </c>
      <c r="O176" s="5">
        <v>8959620999</v>
      </c>
      <c r="P176" s="5" t="s">
        <v>950</v>
      </c>
      <c r="Q176" s="5" t="s">
        <v>951</v>
      </c>
      <c r="R176" s="5">
        <v>6265255909</v>
      </c>
    </row>
    <row r="177" spans="1:18" ht="15" thickBot="1">
      <c r="A177" s="4" t="s">
        <v>952</v>
      </c>
      <c r="B177" s="5" t="s">
        <v>19</v>
      </c>
      <c r="C177" s="5" t="s">
        <v>20</v>
      </c>
      <c r="D177" s="5" t="s">
        <v>49</v>
      </c>
      <c r="E177" s="5" t="s">
        <v>50</v>
      </c>
      <c r="F177" s="5">
        <v>9004551388</v>
      </c>
      <c r="G177" s="5" t="s">
        <v>51</v>
      </c>
      <c r="H177" s="5" t="s">
        <v>52</v>
      </c>
      <c r="I177" s="5">
        <v>8355872770</v>
      </c>
      <c r="J177" s="5" t="s">
        <v>53</v>
      </c>
      <c r="K177" s="5" t="s">
        <v>54</v>
      </c>
      <c r="L177" s="5">
        <v>8888726472</v>
      </c>
      <c r="M177" s="5" t="s">
        <v>55</v>
      </c>
      <c r="N177" s="5" t="s">
        <v>56</v>
      </c>
      <c r="O177" s="5">
        <v>7738879336</v>
      </c>
      <c r="P177" s="6"/>
      <c r="Q177" s="6"/>
      <c r="R177" s="6"/>
    </row>
    <row r="178" spans="1:18" ht="15" thickBot="1">
      <c r="A178" s="38"/>
      <c r="B178" s="6"/>
      <c r="C178" s="6"/>
      <c r="D178" s="6"/>
      <c r="E178" s="6"/>
      <c r="F178" s="6"/>
      <c r="G178" s="6"/>
      <c r="H178" s="6"/>
      <c r="I178" s="6"/>
      <c r="J178" s="15"/>
      <c r="K178" s="15"/>
      <c r="L178" s="15"/>
      <c r="M178" s="15"/>
      <c r="N178" s="15"/>
      <c r="O178" s="6"/>
      <c r="P178" s="6"/>
      <c r="Q178" s="6"/>
      <c r="R178" s="6"/>
    </row>
    <row r="179" spans="1:18" ht="15" thickBot="1">
      <c r="A179" s="38"/>
      <c r="B179" s="6"/>
      <c r="C179" s="6"/>
      <c r="D179" s="6"/>
      <c r="E179" s="6"/>
      <c r="F179" s="6"/>
      <c r="G179" s="6"/>
      <c r="H179" s="6"/>
      <c r="I179" s="6"/>
      <c r="J179" s="6"/>
      <c r="K179" s="6"/>
      <c r="L179" s="6"/>
      <c r="M179" s="6"/>
      <c r="N179" s="6"/>
      <c r="O179" s="6"/>
      <c r="P179" s="6"/>
      <c r="Q179" s="6"/>
      <c r="R179" s="6"/>
    </row>
    <row r="180" spans="1:18" ht="15" thickBot="1">
      <c r="A180" s="38"/>
      <c r="B180" s="6"/>
      <c r="C180" s="6"/>
      <c r="D180" s="6"/>
      <c r="E180" s="6"/>
      <c r="F180" s="6"/>
      <c r="G180" s="6"/>
      <c r="H180" s="6"/>
      <c r="I180" s="6"/>
      <c r="J180" s="6"/>
      <c r="K180" s="39" t="s">
        <v>94</v>
      </c>
      <c r="L180" s="9">
        <v>6385797985</v>
      </c>
      <c r="M180" s="6"/>
      <c r="N180" s="6"/>
      <c r="O180" s="6"/>
      <c r="P180" s="6"/>
      <c r="Q180" s="6"/>
      <c r="R180" s="6"/>
    </row>
    <row r="181" spans="1:18" ht="15" thickBot="1">
      <c r="A181" s="38"/>
      <c r="B181" s="6"/>
      <c r="C181" s="6"/>
      <c r="D181" s="6"/>
      <c r="E181" s="6"/>
      <c r="F181" s="6"/>
      <c r="G181" s="6"/>
      <c r="H181" s="6"/>
      <c r="I181" s="6"/>
      <c r="J181" s="6"/>
      <c r="K181" s="39" t="s">
        <v>953</v>
      </c>
      <c r="L181" s="5">
        <v>9071717181</v>
      </c>
      <c r="M181" s="6"/>
      <c r="N181" s="6"/>
      <c r="O181" s="6"/>
      <c r="P181" s="6"/>
      <c r="Q181" s="6"/>
      <c r="R181" s="6"/>
    </row>
    <row r="182" spans="1:18" ht="15" thickBot="1">
      <c r="A182" s="38"/>
      <c r="B182" s="6"/>
      <c r="C182" s="6"/>
      <c r="D182" s="6"/>
      <c r="E182" s="6"/>
      <c r="F182" s="6"/>
      <c r="G182" s="6"/>
      <c r="H182" s="6"/>
      <c r="I182" s="6"/>
      <c r="J182" s="6"/>
      <c r="K182" s="39" t="s">
        <v>954</v>
      </c>
      <c r="L182" s="5">
        <v>8754667886</v>
      </c>
      <c r="M182" s="6"/>
      <c r="N182" s="6"/>
      <c r="O182" s="6"/>
      <c r="P182" s="6"/>
      <c r="Q182" s="6"/>
      <c r="R182" s="6"/>
    </row>
    <row r="183" spans="1:18" ht="15" thickBot="1">
      <c r="A183" s="38"/>
      <c r="B183" s="6"/>
      <c r="C183" s="6"/>
      <c r="D183" s="6"/>
      <c r="E183" s="6"/>
      <c r="F183" s="6"/>
      <c r="G183" s="6"/>
      <c r="H183" s="6"/>
      <c r="I183" s="6"/>
      <c r="J183" s="6"/>
      <c r="K183" s="39" t="s">
        <v>955</v>
      </c>
      <c r="L183" s="9">
        <v>9360681063</v>
      </c>
      <c r="M183" s="6"/>
      <c r="N183" s="6"/>
      <c r="O183" s="6"/>
      <c r="P183" s="6"/>
      <c r="Q183" s="6"/>
      <c r="R183" s="6"/>
    </row>
    <row r="184" spans="1:18" ht="15" thickBot="1">
      <c r="A184" s="38"/>
      <c r="B184" s="6"/>
      <c r="C184" s="6"/>
      <c r="D184" s="6"/>
      <c r="E184" s="6"/>
      <c r="F184" s="6"/>
      <c r="G184" s="6"/>
      <c r="H184" s="6"/>
      <c r="I184" s="6"/>
      <c r="J184" s="6"/>
      <c r="K184" s="5" t="s">
        <v>866</v>
      </c>
      <c r="L184" s="5">
        <v>6381376935</v>
      </c>
      <c r="M184" s="6"/>
      <c r="N184" s="6"/>
      <c r="O184" s="6"/>
      <c r="P184" s="6"/>
      <c r="Q184" s="6"/>
      <c r="R184" s="6"/>
    </row>
    <row r="185" spans="1:18" ht="15" thickBot="1">
      <c r="A185" s="38"/>
      <c r="B185" s="6"/>
      <c r="C185" s="6"/>
      <c r="D185" s="6"/>
      <c r="E185" s="6"/>
      <c r="F185" s="6"/>
      <c r="G185" s="6"/>
      <c r="H185" s="6"/>
      <c r="I185" s="6"/>
      <c r="J185" s="6"/>
      <c r="K185" s="6"/>
      <c r="L185" s="6"/>
      <c r="M185" s="6"/>
      <c r="N185" s="6"/>
      <c r="O185" s="6"/>
      <c r="P185" s="6"/>
      <c r="Q185" s="6"/>
      <c r="R185" s="6"/>
    </row>
    <row r="186" spans="1:18" ht="15" thickBot="1">
      <c r="A186" s="38"/>
      <c r="B186" s="6"/>
      <c r="C186" s="6"/>
      <c r="D186" s="6"/>
      <c r="E186" s="6"/>
      <c r="F186" s="6"/>
      <c r="G186" s="6"/>
      <c r="H186" s="6"/>
      <c r="I186" s="6"/>
      <c r="J186" s="6"/>
      <c r="K186" s="6"/>
      <c r="L186" s="6"/>
      <c r="M186" s="6"/>
      <c r="N186" s="6"/>
      <c r="O186" s="6"/>
      <c r="P186" s="6"/>
      <c r="Q186" s="6"/>
      <c r="R186" s="6"/>
    </row>
    <row r="187" spans="1:18" ht="15" thickBot="1">
      <c r="A187" s="38"/>
      <c r="B187" s="6"/>
      <c r="C187" s="6"/>
      <c r="D187" s="6"/>
      <c r="E187" s="6"/>
      <c r="F187" s="6"/>
      <c r="G187" s="6"/>
      <c r="H187" s="6"/>
      <c r="I187" s="6"/>
      <c r="J187" s="6"/>
      <c r="K187" s="6"/>
      <c r="L187" s="6"/>
      <c r="M187" s="6"/>
      <c r="N187" s="6"/>
      <c r="O187" s="6"/>
      <c r="P187" s="6"/>
      <c r="Q187" s="6"/>
      <c r="R187" s="6"/>
    </row>
    <row r="188" spans="1:18" ht="15" thickBot="1">
      <c r="A188" s="38"/>
      <c r="B188" s="6"/>
      <c r="C188" s="6"/>
      <c r="D188" s="6"/>
      <c r="E188" s="6"/>
      <c r="F188" s="6"/>
      <c r="G188" s="6"/>
      <c r="H188" s="6"/>
      <c r="I188" s="6"/>
      <c r="J188" s="6"/>
      <c r="K188" s="6"/>
      <c r="L188" s="6"/>
      <c r="M188" s="6"/>
      <c r="N188" s="6"/>
      <c r="O188" s="6"/>
      <c r="P188" s="6"/>
      <c r="Q188" s="6"/>
      <c r="R188" s="6"/>
    </row>
    <row r="189" spans="1:18" ht="15" thickBot="1">
      <c r="A189" s="38"/>
      <c r="B189" s="6"/>
      <c r="C189" s="6"/>
      <c r="D189" s="6"/>
      <c r="E189" s="6"/>
      <c r="F189" s="6"/>
      <c r="G189" s="6"/>
      <c r="H189" s="6"/>
      <c r="I189" s="6"/>
      <c r="J189" s="6"/>
      <c r="K189" s="6"/>
      <c r="L189" s="6"/>
      <c r="M189" s="6"/>
      <c r="N189" s="6"/>
      <c r="O189" s="6"/>
      <c r="P189" s="6"/>
      <c r="Q189" s="6"/>
      <c r="R189" s="6"/>
    </row>
    <row r="190" spans="1:18" ht="15" thickBot="1">
      <c r="A190" s="38"/>
      <c r="B190" s="6"/>
      <c r="C190" s="6"/>
      <c r="D190" s="6"/>
      <c r="E190" s="6"/>
      <c r="F190" s="6"/>
      <c r="G190" s="6"/>
      <c r="H190" s="6"/>
      <c r="I190" s="6"/>
      <c r="J190" s="6"/>
      <c r="K190" s="6"/>
      <c r="L190" s="6"/>
      <c r="M190" s="6"/>
      <c r="N190" s="6"/>
      <c r="O190" s="6"/>
      <c r="P190" s="6"/>
      <c r="Q190" s="6"/>
      <c r="R190" s="6"/>
    </row>
    <row r="191" spans="1:18" ht="15" thickBot="1">
      <c r="A191" s="38"/>
      <c r="B191" s="6"/>
      <c r="C191" s="6"/>
      <c r="D191" s="6"/>
      <c r="E191" s="6"/>
      <c r="F191" s="6"/>
      <c r="G191" s="6"/>
      <c r="H191" s="6"/>
      <c r="I191" s="6"/>
      <c r="J191" s="6"/>
      <c r="K191" s="6"/>
      <c r="L191" s="6"/>
      <c r="M191" s="6"/>
      <c r="N191" s="6"/>
      <c r="O191" s="6"/>
      <c r="P191" s="6"/>
      <c r="Q191" s="6"/>
      <c r="R191" s="6"/>
    </row>
    <row r="192" spans="1:18" ht="15" thickBot="1">
      <c r="A192" s="38"/>
      <c r="B192" s="6"/>
      <c r="C192" s="6"/>
      <c r="D192" s="6"/>
      <c r="E192" s="6"/>
      <c r="F192" s="6"/>
      <c r="G192" s="6"/>
      <c r="H192" s="6"/>
      <c r="I192" s="6"/>
      <c r="J192" s="6"/>
      <c r="K192" s="6"/>
      <c r="L192" s="6"/>
      <c r="M192" s="6"/>
      <c r="N192" s="6"/>
      <c r="O192" s="6"/>
      <c r="P192" s="6"/>
      <c r="Q192" s="6"/>
      <c r="R192" s="6"/>
    </row>
    <row r="193" spans="1:18" ht="15" thickBot="1">
      <c r="A193" s="38"/>
      <c r="B193" s="6"/>
      <c r="C193" s="6"/>
      <c r="D193" s="6"/>
      <c r="E193" s="6"/>
      <c r="F193" s="6"/>
      <c r="G193" s="6"/>
      <c r="H193" s="6"/>
      <c r="I193" s="6"/>
      <c r="J193" s="6"/>
      <c r="K193" s="6"/>
      <c r="L193" s="6"/>
      <c r="M193" s="6"/>
      <c r="N193" s="6"/>
      <c r="O193" s="6"/>
      <c r="P193" s="6"/>
      <c r="Q193" s="6"/>
      <c r="R193" s="6"/>
    </row>
    <row r="194" spans="1:18" ht="15" thickBot="1">
      <c r="A194" s="38"/>
      <c r="B194" s="6"/>
      <c r="C194" s="6"/>
      <c r="D194" s="6"/>
      <c r="E194" s="6"/>
      <c r="F194" s="6"/>
      <c r="G194" s="6"/>
      <c r="H194" s="6"/>
      <c r="I194" s="6"/>
      <c r="J194" s="6"/>
      <c r="K194" s="6"/>
      <c r="L194" s="6"/>
      <c r="M194" s="6"/>
      <c r="N194" s="6"/>
      <c r="O194" s="6"/>
      <c r="P194" s="6"/>
      <c r="Q194" s="6"/>
      <c r="R194" s="6"/>
    </row>
    <row r="195" spans="1:18" ht="15" thickBot="1">
      <c r="A195" s="38"/>
      <c r="B195" s="6"/>
      <c r="C195" s="6"/>
      <c r="D195" s="6"/>
      <c r="E195" s="6"/>
      <c r="F195" s="6"/>
      <c r="G195" s="6"/>
      <c r="H195" s="6"/>
      <c r="I195" s="6"/>
      <c r="J195" s="6"/>
      <c r="K195" s="6"/>
      <c r="L195" s="6"/>
      <c r="M195" s="6"/>
      <c r="N195" s="6"/>
      <c r="O195" s="6"/>
      <c r="P195" s="6"/>
      <c r="Q195" s="6"/>
      <c r="R195" s="6"/>
    </row>
    <row r="196" spans="1:18" ht="15" thickBot="1">
      <c r="A196" s="38"/>
      <c r="B196" s="6"/>
      <c r="C196" s="6"/>
      <c r="D196" s="6"/>
      <c r="E196" s="6"/>
      <c r="F196" s="6"/>
      <c r="G196" s="6"/>
      <c r="H196" s="6"/>
      <c r="I196" s="6"/>
      <c r="J196" s="6"/>
      <c r="K196" s="6"/>
      <c r="L196" s="6"/>
      <c r="M196" s="6"/>
      <c r="N196" s="6"/>
      <c r="O196" s="6"/>
      <c r="P196" s="6"/>
      <c r="Q196" s="6"/>
      <c r="R196" s="6"/>
    </row>
    <row r="197" spans="1:18" ht="15" thickBot="1">
      <c r="A197" s="38"/>
      <c r="B197" s="6"/>
      <c r="C197" s="6"/>
      <c r="D197" s="6"/>
      <c r="E197" s="6"/>
      <c r="F197" s="6"/>
      <c r="G197" s="6"/>
      <c r="H197" s="6"/>
      <c r="I197" s="6"/>
      <c r="J197" s="6"/>
      <c r="K197" s="6"/>
      <c r="L197" s="6"/>
      <c r="M197" s="6"/>
      <c r="N197" s="6"/>
      <c r="O197" s="6"/>
      <c r="P197" s="6"/>
      <c r="Q197" s="6"/>
      <c r="R197" s="6"/>
    </row>
    <row r="198" spans="1:18" ht="15" thickBot="1">
      <c r="A198" s="38"/>
      <c r="B198" s="6"/>
      <c r="C198" s="6"/>
      <c r="D198" s="6"/>
      <c r="E198" s="6"/>
      <c r="F198" s="6"/>
      <c r="G198" s="6"/>
      <c r="H198" s="6"/>
      <c r="I198" s="6"/>
      <c r="J198" s="6"/>
      <c r="K198" s="6"/>
      <c r="L198" s="6"/>
      <c r="M198" s="6"/>
      <c r="N198" s="6"/>
      <c r="O198" s="6"/>
      <c r="P198" s="6"/>
      <c r="Q198" s="6"/>
      <c r="R198" s="6"/>
    </row>
    <row r="199" spans="1:18" ht="15" thickBot="1">
      <c r="A199" s="38"/>
      <c r="B199" s="6"/>
      <c r="C199" s="6"/>
      <c r="D199" s="6"/>
      <c r="E199" s="6"/>
      <c r="F199" s="6"/>
      <c r="G199" s="6"/>
      <c r="H199" s="6"/>
      <c r="I199" s="6"/>
      <c r="J199" s="6"/>
      <c r="K199" s="6"/>
      <c r="L199" s="6"/>
      <c r="M199" s="6"/>
      <c r="N199" s="6"/>
      <c r="O199" s="6"/>
      <c r="P199" s="6"/>
      <c r="Q199" s="6"/>
      <c r="R199" s="6"/>
    </row>
    <row r="200" spans="1:18" ht="15" thickBot="1">
      <c r="A200" s="38"/>
      <c r="B200" s="6"/>
      <c r="C200" s="6"/>
      <c r="D200" s="6"/>
      <c r="E200" s="6"/>
      <c r="F200" s="6"/>
      <c r="G200" s="6"/>
      <c r="H200" s="6"/>
      <c r="I200" s="6"/>
      <c r="J200" s="6"/>
      <c r="K200" s="6"/>
      <c r="L200" s="6"/>
      <c r="M200" s="6"/>
      <c r="N200" s="6"/>
      <c r="O200" s="6"/>
      <c r="P200" s="6"/>
      <c r="Q200" s="6"/>
      <c r="R200" s="6"/>
    </row>
    <row r="201" spans="1:18" ht="15" thickBot="1">
      <c r="A201" s="38"/>
      <c r="B201" s="6"/>
      <c r="C201" s="6"/>
      <c r="D201" s="6"/>
      <c r="E201" s="6"/>
      <c r="F201" s="6"/>
      <c r="G201" s="6"/>
      <c r="H201" s="6"/>
      <c r="I201" s="6"/>
      <c r="J201" s="6"/>
      <c r="K201" s="6"/>
      <c r="L201" s="6"/>
      <c r="M201" s="6"/>
      <c r="N201" s="6"/>
      <c r="O201" s="6"/>
      <c r="P201" s="6"/>
      <c r="Q201" s="6"/>
      <c r="R201" s="6"/>
    </row>
    <row r="202" spans="1:18" ht="15" thickBot="1">
      <c r="A202" s="38"/>
      <c r="B202" s="6"/>
      <c r="C202" s="6"/>
      <c r="D202" s="6"/>
      <c r="E202" s="6"/>
      <c r="F202" s="6"/>
      <c r="G202" s="6"/>
      <c r="H202" s="6"/>
      <c r="I202" s="6"/>
      <c r="J202" s="6"/>
      <c r="K202" s="6"/>
      <c r="L202" s="6"/>
      <c r="M202" s="6"/>
      <c r="N202" s="6"/>
      <c r="O202" s="6"/>
      <c r="P202" s="6"/>
      <c r="Q202" s="6"/>
      <c r="R202" s="6"/>
    </row>
    <row r="203" spans="1:18" ht="15" thickBot="1">
      <c r="A203" s="38"/>
      <c r="B203" s="6"/>
      <c r="C203" s="6"/>
      <c r="D203" s="6"/>
      <c r="E203" s="6"/>
      <c r="F203" s="6"/>
      <c r="G203" s="6"/>
      <c r="H203" s="6"/>
      <c r="I203" s="6"/>
      <c r="J203" s="6"/>
      <c r="K203" s="6"/>
      <c r="L203" s="6"/>
      <c r="M203" s="6"/>
      <c r="N203" s="6"/>
      <c r="O203" s="6"/>
      <c r="P203" s="6"/>
      <c r="Q203" s="6"/>
      <c r="R203" s="6"/>
    </row>
    <row r="204" spans="1:18" ht="15" thickBot="1">
      <c r="A204" s="38"/>
      <c r="B204" s="6"/>
      <c r="C204" s="6"/>
      <c r="D204" s="6"/>
      <c r="E204" s="6"/>
      <c r="F204" s="6"/>
      <c r="G204" s="6"/>
      <c r="H204" s="6"/>
      <c r="I204" s="6"/>
      <c r="J204" s="6"/>
      <c r="K204" s="6"/>
      <c r="L204" s="6"/>
      <c r="M204" s="6"/>
      <c r="N204" s="6"/>
      <c r="O204" s="6"/>
      <c r="P204" s="6"/>
      <c r="Q204" s="6"/>
      <c r="R204" s="6"/>
    </row>
    <row r="205" spans="1:18" ht="15" thickBot="1">
      <c r="A205" s="38"/>
      <c r="B205" s="6"/>
      <c r="C205" s="6"/>
      <c r="D205" s="6"/>
      <c r="E205" s="6"/>
      <c r="F205" s="6"/>
      <c r="G205" s="6"/>
      <c r="H205" s="6"/>
      <c r="I205" s="6"/>
      <c r="J205" s="6"/>
      <c r="K205" s="6"/>
      <c r="L205" s="6"/>
      <c r="M205" s="6"/>
      <c r="N205" s="6"/>
      <c r="O205" s="6"/>
      <c r="P205" s="6"/>
      <c r="Q205" s="6"/>
      <c r="R205" s="6"/>
    </row>
    <row r="206" spans="1:18" ht="15" thickBot="1">
      <c r="A206" s="38"/>
      <c r="B206" s="6"/>
      <c r="C206" s="6"/>
      <c r="D206" s="6"/>
      <c r="E206" s="6"/>
      <c r="F206" s="6"/>
      <c r="G206" s="6"/>
      <c r="H206" s="6"/>
      <c r="I206" s="6"/>
      <c r="J206" s="6"/>
      <c r="K206" s="6"/>
      <c r="L206" s="6"/>
      <c r="M206" s="6"/>
      <c r="N206" s="6"/>
      <c r="O206" s="6"/>
      <c r="P206" s="6"/>
      <c r="Q206" s="6"/>
      <c r="R206" s="6"/>
    </row>
    <row r="207" spans="1:18" ht="15" thickBot="1">
      <c r="A207" s="38"/>
      <c r="B207" s="6"/>
      <c r="C207" s="6"/>
      <c r="D207" s="6"/>
      <c r="E207" s="6"/>
      <c r="F207" s="6"/>
      <c r="G207" s="6"/>
      <c r="H207" s="6"/>
      <c r="I207" s="6"/>
      <c r="J207" s="6"/>
      <c r="K207" s="6"/>
      <c r="L207" s="6"/>
      <c r="M207" s="6"/>
      <c r="N207" s="6"/>
      <c r="O207" s="6"/>
      <c r="P207" s="6"/>
      <c r="Q207" s="6"/>
      <c r="R207" s="6"/>
    </row>
    <row r="208" spans="1:18" ht="15" thickBot="1">
      <c r="A208" s="38"/>
      <c r="B208" s="6"/>
      <c r="C208" s="6"/>
      <c r="D208" s="6"/>
      <c r="E208" s="6"/>
      <c r="F208" s="6"/>
      <c r="G208" s="6"/>
      <c r="H208" s="6"/>
      <c r="I208" s="6"/>
      <c r="J208" s="6"/>
      <c r="K208" s="6"/>
      <c r="L208" s="6"/>
      <c r="M208" s="6"/>
      <c r="N208" s="6"/>
      <c r="O208" s="6"/>
      <c r="P208" s="6"/>
      <c r="Q208" s="6"/>
      <c r="R208" s="6"/>
    </row>
    <row r="209" spans="1:18" ht="15" thickBot="1">
      <c r="A209" s="38"/>
      <c r="B209" s="6"/>
      <c r="C209" s="6"/>
      <c r="D209" s="6"/>
      <c r="E209" s="6"/>
      <c r="F209" s="6"/>
      <c r="G209" s="6"/>
      <c r="H209" s="6"/>
      <c r="I209" s="6"/>
      <c r="J209" s="6"/>
      <c r="K209" s="6"/>
      <c r="L209" s="6"/>
      <c r="M209" s="6"/>
      <c r="N209" s="6"/>
      <c r="O209" s="6"/>
      <c r="P209" s="6"/>
      <c r="Q209" s="6"/>
      <c r="R209" s="6"/>
    </row>
    <row r="210" spans="1:18" ht="15" thickBot="1">
      <c r="A210" s="38"/>
      <c r="B210" s="6"/>
      <c r="C210" s="6"/>
      <c r="D210" s="6"/>
      <c r="E210" s="6"/>
      <c r="F210" s="6"/>
      <c r="G210" s="6"/>
      <c r="H210" s="6"/>
      <c r="I210" s="6"/>
      <c r="J210" s="6"/>
      <c r="K210" s="6"/>
      <c r="L210" s="6"/>
      <c r="M210" s="6"/>
      <c r="N210" s="6"/>
      <c r="O210" s="6"/>
      <c r="P210" s="6"/>
      <c r="Q210" s="6"/>
      <c r="R210" s="6"/>
    </row>
    <row r="211" spans="1:18" ht="15" thickBot="1">
      <c r="A211" s="38"/>
      <c r="B211" s="6"/>
      <c r="C211" s="6"/>
      <c r="D211" s="6"/>
      <c r="E211" s="6"/>
      <c r="F211" s="6"/>
      <c r="G211" s="6"/>
      <c r="H211" s="6"/>
      <c r="I211" s="6"/>
      <c r="J211" s="6"/>
      <c r="K211" s="6"/>
      <c r="L211" s="6"/>
      <c r="M211" s="6"/>
      <c r="N211" s="6"/>
      <c r="O211" s="6"/>
      <c r="P211" s="6"/>
      <c r="Q211" s="6"/>
      <c r="R211" s="6"/>
    </row>
    <row r="212" spans="1:18" ht="15" thickBot="1">
      <c r="A212" s="38"/>
      <c r="B212" s="6"/>
      <c r="C212" s="6"/>
      <c r="D212" s="6"/>
      <c r="E212" s="6"/>
      <c r="F212" s="6"/>
      <c r="G212" s="6"/>
      <c r="H212" s="6"/>
      <c r="I212" s="6"/>
      <c r="J212" s="6"/>
      <c r="K212" s="6"/>
      <c r="L212" s="6"/>
      <c r="M212" s="6"/>
      <c r="N212" s="6"/>
      <c r="O212" s="6"/>
      <c r="P212" s="6"/>
      <c r="Q212" s="6"/>
      <c r="R212" s="6"/>
    </row>
    <row r="213" spans="1:18" ht="15" thickBot="1">
      <c r="A213" s="38"/>
      <c r="B213" s="6"/>
      <c r="C213" s="6"/>
      <c r="D213" s="6"/>
      <c r="E213" s="6"/>
      <c r="F213" s="6"/>
      <c r="G213" s="6"/>
      <c r="H213" s="6"/>
      <c r="I213" s="6"/>
      <c r="J213" s="6"/>
      <c r="K213" s="6"/>
      <c r="L213" s="6"/>
      <c r="M213" s="6"/>
      <c r="N213" s="6"/>
      <c r="O213" s="6"/>
      <c r="P213" s="6"/>
      <c r="Q213" s="6"/>
      <c r="R213" s="6"/>
    </row>
    <row r="214" spans="1:18" ht="15" thickBot="1">
      <c r="A214" s="38"/>
      <c r="B214" s="6"/>
      <c r="C214" s="6"/>
      <c r="D214" s="6"/>
      <c r="E214" s="6"/>
      <c r="F214" s="6"/>
      <c r="G214" s="6"/>
      <c r="H214" s="6"/>
      <c r="I214" s="6"/>
      <c r="J214" s="6"/>
      <c r="K214" s="6"/>
      <c r="L214" s="6"/>
      <c r="M214" s="6"/>
      <c r="N214" s="6"/>
      <c r="O214" s="6"/>
      <c r="P214" s="6"/>
      <c r="Q214" s="6"/>
      <c r="R214" s="6"/>
    </row>
    <row r="215" spans="1:18" ht="15" thickBot="1">
      <c r="A215" s="38"/>
      <c r="B215" s="6"/>
      <c r="C215" s="6"/>
      <c r="D215" s="6"/>
      <c r="E215" s="6"/>
      <c r="F215" s="6"/>
      <c r="G215" s="6"/>
      <c r="H215" s="6"/>
      <c r="I215" s="6"/>
      <c r="J215" s="6"/>
      <c r="K215" s="6"/>
      <c r="L215" s="6"/>
      <c r="M215" s="6"/>
      <c r="N215" s="6"/>
      <c r="O215" s="6"/>
      <c r="P215" s="6"/>
      <c r="Q215" s="6"/>
      <c r="R215" s="6"/>
    </row>
    <row r="216" spans="1:18" ht="15" thickBot="1">
      <c r="A216" s="38"/>
      <c r="B216" s="6"/>
      <c r="C216" s="6"/>
      <c r="D216" s="6"/>
      <c r="E216" s="6"/>
      <c r="F216" s="6"/>
      <c r="G216" s="6"/>
      <c r="H216" s="6"/>
      <c r="I216" s="6"/>
      <c r="J216" s="6"/>
      <c r="K216" s="6"/>
      <c r="L216" s="6"/>
      <c r="M216" s="6"/>
      <c r="N216" s="6"/>
      <c r="O216" s="6"/>
      <c r="P216" s="6"/>
      <c r="Q216" s="6"/>
      <c r="R216" s="6"/>
    </row>
    <row r="217" spans="1:18" ht="15" thickBot="1">
      <c r="A217" s="38"/>
      <c r="B217" s="6"/>
      <c r="C217" s="6"/>
      <c r="D217" s="6"/>
      <c r="E217" s="6"/>
      <c r="F217" s="6"/>
      <c r="G217" s="6"/>
      <c r="H217" s="6"/>
      <c r="I217" s="6"/>
      <c r="J217" s="6"/>
      <c r="K217" s="6"/>
      <c r="L217" s="6"/>
      <c r="M217" s="6"/>
      <c r="N217" s="6"/>
      <c r="O217" s="6"/>
      <c r="P217" s="6"/>
      <c r="Q217" s="6"/>
      <c r="R217" s="6"/>
    </row>
    <row r="218" spans="1:18" ht="15" thickBot="1">
      <c r="A218" s="38"/>
      <c r="B218" s="6"/>
      <c r="C218" s="6"/>
      <c r="D218" s="6"/>
      <c r="E218" s="6"/>
      <c r="F218" s="6"/>
      <c r="G218" s="6"/>
      <c r="H218" s="6"/>
      <c r="I218" s="6"/>
      <c r="J218" s="6"/>
      <c r="K218" s="6"/>
      <c r="L218" s="6"/>
      <c r="M218" s="6"/>
      <c r="N218" s="6"/>
      <c r="O218" s="6"/>
      <c r="P218" s="6"/>
      <c r="Q218" s="6"/>
      <c r="R218" s="6"/>
    </row>
    <row r="219" spans="1:18" ht="15" thickBot="1">
      <c r="A219" s="38"/>
      <c r="B219" s="6"/>
      <c r="C219" s="6"/>
      <c r="D219" s="6"/>
      <c r="E219" s="6"/>
      <c r="F219" s="6"/>
      <c r="G219" s="6"/>
      <c r="H219" s="6"/>
      <c r="I219" s="6"/>
      <c r="J219" s="6"/>
      <c r="K219" s="6"/>
      <c r="L219" s="6"/>
      <c r="M219" s="6"/>
      <c r="N219" s="6"/>
      <c r="O219" s="6"/>
      <c r="P219" s="6"/>
      <c r="Q219" s="6"/>
      <c r="R219" s="6"/>
    </row>
    <row r="220" spans="1:18" ht="15" thickBot="1">
      <c r="A220" s="38"/>
      <c r="B220" s="6"/>
      <c r="C220" s="6"/>
      <c r="D220" s="6"/>
      <c r="E220" s="6"/>
      <c r="F220" s="6"/>
      <c r="G220" s="6"/>
      <c r="H220" s="6"/>
      <c r="I220" s="6"/>
      <c r="J220" s="6"/>
      <c r="K220" s="6"/>
      <c r="L220" s="6"/>
      <c r="M220" s="6"/>
      <c r="N220" s="6"/>
      <c r="O220" s="6"/>
      <c r="P220" s="6"/>
      <c r="Q220" s="6"/>
      <c r="R220" s="6"/>
    </row>
    <row r="221" spans="1:18" ht="15" thickBot="1">
      <c r="A221" s="38"/>
      <c r="B221" s="6"/>
      <c r="C221" s="6"/>
      <c r="D221" s="6"/>
      <c r="E221" s="6"/>
      <c r="F221" s="6"/>
      <c r="G221" s="6"/>
      <c r="H221" s="6"/>
      <c r="I221" s="6"/>
      <c r="J221" s="6"/>
      <c r="K221" s="6"/>
      <c r="L221" s="6"/>
      <c r="M221" s="6"/>
      <c r="N221" s="6"/>
      <c r="O221" s="6"/>
      <c r="P221" s="6"/>
      <c r="Q221" s="6"/>
      <c r="R221" s="6"/>
    </row>
    <row r="222" spans="1:18" ht="15" thickBot="1">
      <c r="A222" s="38"/>
      <c r="B222" s="6"/>
      <c r="C222" s="6"/>
      <c r="D222" s="6"/>
      <c r="E222" s="6"/>
      <c r="F222" s="6"/>
      <c r="G222" s="6"/>
      <c r="H222" s="6"/>
      <c r="I222" s="6"/>
      <c r="J222" s="6"/>
      <c r="K222" s="6"/>
      <c r="L222" s="6"/>
      <c r="M222" s="6"/>
      <c r="N222" s="6"/>
      <c r="O222" s="6"/>
      <c r="P222" s="6"/>
      <c r="Q222" s="6"/>
      <c r="R222" s="6"/>
    </row>
    <row r="223" spans="1:18" ht="15" thickBot="1">
      <c r="A223" s="38"/>
      <c r="B223" s="6"/>
      <c r="C223" s="6"/>
      <c r="D223" s="6"/>
      <c r="E223" s="6"/>
      <c r="F223" s="6"/>
      <c r="G223" s="6"/>
      <c r="H223" s="6"/>
      <c r="I223" s="6"/>
      <c r="J223" s="6"/>
      <c r="K223" s="6"/>
      <c r="L223" s="6"/>
      <c r="M223" s="6"/>
      <c r="N223" s="6"/>
      <c r="O223" s="6"/>
      <c r="P223" s="6"/>
      <c r="Q223" s="6"/>
      <c r="R223" s="6"/>
    </row>
    <row r="224" spans="1:18" ht="15" thickBot="1">
      <c r="A224" s="38"/>
      <c r="B224" s="6"/>
      <c r="C224" s="6"/>
      <c r="D224" s="6"/>
      <c r="E224" s="6"/>
      <c r="F224" s="6"/>
      <c r="G224" s="6"/>
      <c r="H224" s="6"/>
      <c r="I224" s="6"/>
      <c r="J224" s="6"/>
      <c r="K224" s="6"/>
      <c r="L224" s="6"/>
      <c r="M224" s="6"/>
      <c r="N224" s="6"/>
      <c r="O224" s="6"/>
      <c r="P224" s="6"/>
      <c r="Q224" s="6"/>
      <c r="R224" s="6"/>
    </row>
    <row r="225" spans="1:18" ht="15" thickBot="1">
      <c r="A225" s="38"/>
      <c r="B225" s="6"/>
      <c r="C225" s="6"/>
      <c r="D225" s="6"/>
      <c r="E225" s="6"/>
      <c r="F225" s="6"/>
      <c r="G225" s="6"/>
      <c r="H225" s="6"/>
      <c r="I225" s="6"/>
      <c r="J225" s="6"/>
      <c r="K225" s="6"/>
      <c r="L225" s="6"/>
      <c r="M225" s="6"/>
      <c r="N225" s="6"/>
      <c r="O225" s="6"/>
      <c r="P225" s="6"/>
      <c r="Q225" s="6"/>
      <c r="R225" s="6"/>
    </row>
    <row r="226" spans="1:18" ht="15" thickBot="1">
      <c r="A226" s="38"/>
      <c r="B226" s="6"/>
      <c r="C226" s="6"/>
      <c r="D226" s="6"/>
      <c r="E226" s="6"/>
      <c r="F226" s="6"/>
      <c r="G226" s="6"/>
      <c r="H226" s="6"/>
      <c r="I226" s="6"/>
      <c r="J226" s="6"/>
      <c r="K226" s="6"/>
      <c r="L226" s="6"/>
      <c r="M226" s="6"/>
      <c r="N226" s="6"/>
      <c r="O226" s="6"/>
      <c r="P226" s="6"/>
      <c r="Q226" s="6"/>
      <c r="R226" s="6"/>
    </row>
    <row r="227" spans="1:18" ht="15" thickBot="1">
      <c r="A227" s="38"/>
      <c r="B227" s="6"/>
      <c r="C227" s="6"/>
      <c r="D227" s="6"/>
      <c r="E227" s="6"/>
      <c r="F227" s="6"/>
      <c r="G227" s="6"/>
      <c r="H227" s="6"/>
      <c r="I227" s="6"/>
      <c r="J227" s="6"/>
      <c r="K227" s="6"/>
      <c r="L227" s="6"/>
      <c r="M227" s="6"/>
      <c r="N227" s="6"/>
      <c r="O227" s="6"/>
      <c r="P227" s="6"/>
      <c r="Q227" s="6"/>
      <c r="R227" s="6"/>
    </row>
    <row r="228" spans="1:18" ht="15" thickBot="1">
      <c r="A228" s="38"/>
      <c r="B228" s="6"/>
      <c r="C228" s="6"/>
      <c r="D228" s="6"/>
      <c r="E228" s="6"/>
      <c r="F228" s="6"/>
      <c r="G228" s="6"/>
      <c r="H228" s="6"/>
      <c r="I228" s="6"/>
      <c r="J228" s="6"/>
      <c r="K228" s="6"/>
      <c r="L228" s="6"/>
      <c r="M228" s="6"/>
      <c r="N228" s="6"/>
      <c r="O228" s="6"/>
      <c r="P228" s="6"/>
      <c r="Q228" s="6"/>
      <c r="R228" s="6"/>
    </row>
    <row r="229" spans="1:18" ht="15" thickBot="1">
      <c r="A229" s="38"/>
      <c r="B229" s="6"/>
      <c r="C229" s="6"/>
      <c r="D229" s="6"/>
      <c r="E229" s="6"/>
      <c r="F229" s="6"/>
      <c r="G229" s="6"/>
      <c r="H229" s="6"/>
      <c r="I229" s="6"/>
      <c r="J229" s="6"/>
      <c r="K229" s="6"/>
      <c r="L229" s="6"/>
      <c r="M229" s="6"/>
      <c r="N229" s="6"/>
      <c r="O229" s="6"/>
      <c r="P229" s="6"/>
      <c r="Q229" s="6"/>
      <c r="R229" s="6"/>
    </row>
    <row r="230" spans="1:18" ht="15" thickBot="1">
      <c r="A230" s="38"/>
      <c r="B230" s="6"/>
      <c r="C230" s="6"/>
      <c r="D230" s="6"/>
      <c r="E230" s="6"/>
      <c r="F230" s="6"/>
      <c r="G230" s="6"/>
      <c r="H230" s="6"/>
      <c r="I230" s="6"/>
      <c r="J230" s="6"/>
      <c r="K230" s="6"/>
      <c r="L230" s="6"/>
      <c r="M230" s="6"/>
      <c r="N230" s="6"/>
      <c r="O230" s="6"/>
      <c r="P230" s="6"/>
      <c r="Q230" s="6"/>
      <c r="R230" s="6"/>
    </row>
    <row r="231" spans="1:18" ht="15" thickBot="1">
      <c r="A231" s="38"/>
      <c r="B231" s="6"/>
      <c r="C231" s="6"/>
      <c r="D231" s="6"/>
      <c r="E231" s="6"/>
      <c r="F231" s="6"/>
      <c r="G231" s="6"/>
      <c r="H231" s="6"/>
      <c r="I231" s="6"/>
      <c r="J231" s="6"/>
      <c r="K231" s="6"/>
      <c r="L231" s="6"/>
      <c r="M231" s="6"/>
      <c r="N231" s="6"/>
      <c r="O231" s="6"/>
      <c r="P231" s="6"/>
      <c r="Q231" s="6"/>
      <c r="R231" s="6"/>
    </row>
    <row r="232" spans="1:18" ht="15" thickBot="1">
      <c r="A232" s="38"/>
      <c r="B232" s="6"/>
      <c r="C232" s="6"/>
      <c r="D232" s="6"/>
      <c r="E232" s="6"/>
      <c r="F232" s="6"/>
      <c r="G232" s="6"/>
      <c r="H232" s="6"/>
      <c r="I232" s="6"/>
      <c r="J232" s="6"/>
      <c r="K232" s="6"/>
      <c r="L232" s="6"/>
      <c r="M232" s="6"/>
      <c r="N232" s="6"/>
      <c r="O232" s="6"/>
      <c r="P232" s="6"/>
      <c r="Q232" s="6"/>
      <c r="R232" s="6"/>
    </row>
    <row r="233" spans="1:18" ht="15" thickBot="1">
      <c r="A233" s="38"/>
      <c r="B233" s="6"/>
      <c r="C233" s="6"/>
      <c r="D233" s="6"/>
      <c r="E233" s="6"/>
      <c r="F233" s="6"/>
      <c r="G233" s="6"/>
      <c r="H233" s="6"/>
      <c r="I233" s="6"/>
      <c r="J233" s="6"/>
      <c r="K233" s="6"/>
      <c r="L233" s="6"/>
      <c r="M233" s="6"/>
      <c r="N233" s="6"/>
      <c r="O233" s="6"/>
      <c r="P233" s="6"/>
      <c r="Q233" s="6"/>
      <c r="R233" s="6"/>
    </row>
    <row r="234" spans="1:18" ht="15" thickBot="1">
      <c r="A234" s="38"/>
      <c r="B234" s="6"/>
      <c r="C234" s="6"/>
      <c r="D234" s="6"/>
      <c r="E234" s="6"/>
      <c r="F234" s="6"/>
      <c r="G234" s="6"/>
      <c r="H234" s="6"/>
      <c r="I234" s="6"/>
      <c r="J234" s="6"/>
      <c r="K234" s="6"/>
      <c r="L234" s="6"/>
      <c r="M234" s="6"/>
      <c r="N234" s="6"/>
      <c r="O234" s="6"/>
      <c r="P234" s="6"/>
      <c r="Q234" s="6"/>
      <c r="R234" s="6"/>
    </row>
    <row r="235" spans="1:18" ht="15" thickBot="1">
      <c r="A235" s="38"/>
      <c r="B235" s="6"/>
      <c r="C235" s="6"/>
      <c r="D235" s="6"/>
      <c r="E235" s="6"/>
      <c r="F235" s="6"/>
      <c r="G235" s="6"/>
      <c r="H235" s="6"/>
      <c r="I235" s="6"/>
      <c r="J235" s="6"/>
      <c r="K235" s="6"/>
      <c r="L235" s="6"/>
      <c r="M235" s="6"/>
      <c r="N235" s="6"/>
      <c r="O235" s="6"/>
      <c r="P235" s="6"/>
      <c r="Q235" s="6"/>
      <c r="R235" s="6"/>
    </row>
    <row r="236" spans="1:18" ht="15" thickBot="1">
      <c r="A236" s="38"/>
      <c r="B236" s="6"/>
      <c r="C236" s="6"/>
      <c r="D236" s="6"/>
      <c r="E236" s="6"/>
      <c r="F236" s="6"/>
      <c r="G236" s="6"/>
      <c r="H236" s="6"/>
      <c r="I236" s="6"/>
      <c r="J236" s="6"/>
      <c r="K236" s="6"/>
      <c r="L236" s="6"/>
      <c r="M236" s="6"/>
      <c r="N236" s="6"/>
      <c r="O236" s="6"/>
      <c r="P236" s="6"/>
      <c r="Q236" s="6"/>
      <c r="R236" s="6"/>
    </row>
    <row r="237" spans="1:18" ht="15" thickBot="1">
      <c r="A237" s="38"/>
      <c r="B237" s="6"/>
      <c r="C237" s="6"/>
      <c r="D237" s="6"/>
      <c r="E237" s="6"/>
      <c r="F237" s="6"/>
      <c r="G237" s="6"/>
      <c r="H237" s="6"/>
      <c r="I237" s="6"/>
      <c r="J237" s="6"/>
      <c r="K237" s="6"/>
      <c r="L237" s="6"/>
      <c r="M237" s="6"/>
      <c r="N237" s="6"/>
      <c r="O237" s="6"/>
      <c r="P237" s="6"/>
      <c r="Q237" s="6"/>
      <c r="R237" s="6"/>
    </row>
    <row r="238" spans="1:18" ht="15" thickBot="1">
      <c r="A238" s="38"/>
      <c r="B238" s="6"/>
      <c r="C238" s="6"/>
      <c r="D238" s="6"/>
      <c r="E238" s="6"/>
      <c r="F238" s="6"/>
      <c r="G238" s="6"/>
      <c r="H238" s="6"/>
      <c r="I238" s="6"/>
      <c r="J238" s="6"/>
      <c r="K238" s="6"/>
      <c r="L238" s="6"/>
      <c r="M238" s="6"/>
      <c r="N238" s="6"/>
      <c r="O238" s="6"/>
      <c r="P238" s="6"/>
      <c r="Q238" s="6"/>
      <c r="R238" s="6"/>
    </row>
    <row r="239" spans="1:18" ht="15" thickBot="1">
      <c r="A239" s="38"/>
      <c r="B239" s="6"/>
      <c r="C239" s="6"/>
      <c r="D239" s="6"/>
      <c r="E239" s="6"/>
      <c r="F239" s="6"/>
      <c r="G239" s="6"/>
      <c r="H239" s="6"/>
      <c r="I239" s="6"/>
      <c r="J239" s="6"/>
      <c r="K239" s="6"/>
      <c r="L239" s="6"/>
      <c r="M239" s="6"/>
      <c r="N239" s="6"/>
      <c r="O239" s="6"/>
      <c r="P239" s="6"/>
      <c r="Q239" s="6"/>
      <c r="R239" s="6"/>
    </row>
    <row r="240" spans="1:18" ht="15" thickBot="1">
      <c r="A240" s="38"/>
      <c r="B240" s="6"/>
      <c r="C240" s="6"/>
      <c r="D240" s="6"/>
      <c r="E240" s="6"/>
      <c r="F240" s="6"/>
      <c r="G240" s="6"/>
      <c r="H240" s="6"/>
      <c r="I240" s="6"/>
      <c r="J240" s="6"/>
      <c r="K240" s="6"/>
      <c r="L240" s="6"/>
      <c r="M240" s="6"/>
      <c r="N240" s="6"/>
      <c r="O240" s="6"/>
      <c r="P240" s="6"/>
      <c r="Q240" s="6"/>
      <c r="R240" s="6"/>
    </row>
    <row r="241" spans="1:18" ht="15" thickBot="1">
      <c r="A241" s="38"/>
      <c r="B241" s="6"/>
      <c r="C241" s="6"/>
      <c r="D241" s="6"/>
      <c r="E241" s="6"/>
      <c r="F241" s="6"/>
      <c r="G241" s="6"/>
      <c r="H241" s="6"/>
      <c r="I241" s="6"/>
      <c r="J241" s="6"/>
      <c r="K241" s="6"/>
      <c r="L241" s="6"/>
      <c r="M241" s="6"/>
      <c r="N241" s="6"/>
      <c r="O241" s="6"/>
      <c r="P241" s="6"/>
      <c r="Q241" s="6"/>
      <c r="R241" s="6"/>
    </row>
    <row r="242" spans="1:18" ht="15" thickBot="1">
      <c r="A242" s="38"/>
      <c r="B242" s="6"/>
      <c r="C242" s="6"/>
      <c r="D242" s="6"/>
      <c r="E242" s="6"/>
      <c r="F242" s="6"/>
      <c r="G242" s="6"/>
      <c r="H242" s="6"/>
      <c r="I242" s="6"/>
      <c r="J242" s="6"/>
      <c r="K242" s="6"/>
      <c r="L242" s="6"/>
      <c r="M242" s="6"/>
      <c r="N242" s="6"/>
      <c r="O242" s="6"/>
      <c r="P242" s="6"/>
      <c r="Q242" s="6"/>
      <c r="R242" s="6"/>
    </row>
    <row r="243" spans="1:18" ht="15" thickBot="1">
      <c r="A243" s="38"/>
      <c r="B243" s="6"/>
      <c r="C243" s="6"/>
      <c r="D243" s="6"/>
      <c r="E243" s="6"/>
      <c r="F243" s="6"/>
      <c r="G243" s="6"/>
      <c r="H243" s="6"/>
      <c r="I243" s="6"/>
      <c r="J243" s="6"/>
      <c r="K243" s="6"/>
      <c r="L243" s="6"/>
      <c r="M243" s="6"/>
      <c r="N243" s="6"/>
      <c r="O243" s="6"/>
      <c r="P243" s="6"/>
      <c r="Q243" s="6"/>
      <c r="R243" s="6"/>
    </row>
    <row r="244" spans="1:18" ht="15" thickBot="1">
      <c r="A244" s="38"/>
      <c r="B244" s="6"/>
      <c r="C244" s="6"/>
      <c r="D244" s="6"/>
      <c r="E244" s="6"/>
      <c r="F244" s="6"/>
      <c r="G244" s="6"/>
      <c r="H244" s="6"/>
      <c r="I244" s="6"/>
      <c r="J244" s="6"/>
      <c r="K244" s="6"/>
      <c r="L244" s="6"/>
      <c r="M244" s="6"/>
      <c r="N244" s="6"/>
      <c r="O244" s="6"/>
      <c r="P244" s="6"/>
      <c r="Q244" s="6"/>
      <c r="R244" s="6"/>
    </row>
    <row r="245" spans="1:18" ht="15" thickBot="1">
      <c r="A245" s="38"/>
      <c r="B245" s="6"/>
      <c r="C245" s="6"/>
      <c r="D245" s="6"/>
      <c r="E245" s="6"/>
      <c r="F245" s="6"/>
      <c r="G245" s="6"/>
      <c r="H245" s="6"/>
      <c r="I245" s="6"/>
      <c r="J245" s="6"/>
      <c r="K245" s="6"/>
      <c r="L245" s="6"/>
      <c r="M245" s="6"/>
      <c r="N245" s="6"/>
      <c r="O245" s="6"/>
      <c r="P245" s="6"/>
      <c r="Q245" s="6"/>
      <c r="R245" s="6"/>
    </row>
    <row r="246" spans="1:18" ht="15" thickBot="1">
      <c r="A246" s="38"/>
      <c r="B246" s="6"/>
      <c r="C246" s="6"/>
      <c r="D246" s="6"/>
      <c r="E246" s="6"/>
      <c r="F246" s="6"/>
      <c r="G246" s="6"/>
      <c r="H246" s="6"/>
      <c r="I246" s="6"/>
      <c r="J246" s="6"/>
      <c r="K246" s="6"/>
      <c r="L246" s="6"/>
      <c r="M246" s="6"/>
      <c r="N246" s="6"/>
      <c r="O246" s="6"/>
      <c r="P246" s="6"/>
      <c r="Q246" s="6"/>
      <c r="R246" s="6"/>
    </row>
    <row r="247" spans="1:18" ht="15" thickBot="1">
      <c r="A247" s="38"/>
      <c r="B247" s="6"/>
      <c r="C247" s="6"/>
      <c r="D247" s="6"/>
      <c r="E247" s="6"/>
      <c r="F247" s="6"/>
      <c r="G247" s="6"/>
      <c r="H247" s="6"/>
      <c r="I247" s="6"/>
      <c r="J247" s="6"/>
      <c r="K247" s="6"/>
      <c r="L247" s="6"/>
      <c r="M247" s="6"/>
      <c r="N247" s="6"/>
      <c r="O247" s="6"/>
      <c r="P247" s="6"/>
      <c r="Q247" s="6"/>
      <c r="R247" s="6"/>
    </row>
    <row r="248" spans="1:18" ht="15" thickBot="1">
      <c r="A248" s="38"/>
      <c r="B248" s="6"/>
      <c r="C248" s="6"/>
      <c r="D248" s="6"/>
      <c r="E248" s="6"/>
      <c r="F248" s="6"/>
      <c r="G248" s="6"/>
      <c r="H248" s="6"/>
      <c r="I248" s="6"/>
      <c r="J248" s="6"/>
      <c r="K248" s="6"/>
      <c r="L248" s="6"/>
      <c r="M248" s="6"/>
      <c r="N248" s="6"/>
      <c r="O248" s="6"/>
      <c r="P248" s="6"/>
      <c r="Q248" s="6"/>
      <c r="R248" s="6"/>
    </row>
    <row r="249" spans="1:18" ht="15" thickBot="1">
      <c r="A249" s="38"/>
      <c r="B249" s="6"/>
      <c r="C249" s="6"/>
      <c r="D249" s="6"/>
      <c r="E249" s="6"/>
      <c r="F249" s="6"/>
      <c r="G249" s="6"/>
      <c r="H249" s="6"/>
      <c r="I249" s="6"/>
      <c r="J249" s="6"/>
      <c r="K249" s="6"/>
      <c r="L249" s="6"/>
      <c r="M249" s="6"/>
      <c r="N249" s="6"/>
      <c r="O249" s="6"/>
      <c r="P249" s="6"/>
      <c r="Q249" s="6"/>
      <c r="R249" s="6"/>
    </row>
    <row r="250" spans="1:18" ht="15" thickBot="1">
      <c r="A250" s="38"/>
      <c r="B250" s="6"/>
      <c r="C250" s="6"/>
      <c r="D250" s="6"/>
      <c r="E250" s="6"/>
      <c r="F250" s="6"/>
      <c r="G250" s="6"/>
      <c r="H250" s="6"/>
      <c r="I250" s="6"/>
      <c r="J250" s="6"/>
      <c r="K250" s="6"/>
      <c r="L250" s="6"/>
      <c r="M250" s="6"/>
      <c r="N250" s="6"/>
      <c r="O250" s="6"/>
      <c r="P250" s="6"/>
      <c r="Q250" s="6"/>
      <c r="R250" s="6"/>
    </row>
  </sheetData>
  <hyperlinks>
    <hyperlink ref="K16" r:id="rId1" display="mailto:sombir@meesho.com" xr:uid="{BD8AE265-A6CA-43A9-A6A7-D7603F535AB4}"/>
    <hyperlink ref="N16" r:id="rId2" display="mailto:arvind.yadav@meesho.com" xr:uid="{F0AEF39D-7595-48D0-B7CB-75125FB5020B}"/>
    <hyperlink ref="N24" r:id="rId3" display="mailto:sonu.yadav@meesho.com" xr:uid="{9098CB65-2CDD-490E-8872-90AD96D78B2A}"/>
    <hyperlink ref="K133" r:id="rId4" display="mailto:pradip.bhoi@meesho.com" xr:uid="{AE7DFDDC-7489-42AA-B38D-D02B55A14EA1}"/>
    <hyperlink ref="K151" r:id="rId5" display="mailto:mukul.goyal@meesho.com" xr:uid="{DA924875-0524-4EE8-B122-568A094995B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8B3B6-3A93-4CC7-B44B-51DFEF8F1269}">
  <dimension ref="A1:F364"/>
  <sheetViews>
    <sheetView topLeftCell="A111" workbookViewId="0">
      <selection activeCell="C129" sqref="C129"/>
    </sheetView>
  </sheetViews>
  <sheetFormatPr defaultColWidth="28.81640625" defaultRowHeight="12"/>
  <cols>
    <col min="1" max="1" width="4.54296875" style="54" bestFit="1" customWidth="1"/>
    <col min="2" max="2" width="10.26953125" style="54" bestFit="1" customWidth="1"/>
    <col min="3" max="3" width="23.36328125" style="54" bestFit="1" customWidth="1"/>
    <col min="4" max="4" width="26.54296875" style="54" bestFit="1" customWidth="1"/>
    <col min="5" max="5" width="11.26953125" style="54" bestFit="1" customWidth="1"/>
    <col min="6" max="6" width="9.81640625" style="54" bestFit="1" customWidth="1"/>
    <col min="7" max="16384" width="28.81640625" style="54"/>
  </cols>
  <sheetData>
    <row r="1" spans="1:6">
      <c r="A1" s="55" t="s">
        <v>1</v>
      </c>
      <c r="B1" s="55" t="s">
        <v>1028</v>
      </c>
      <c r="C1" s="55" t="s">
        <v>1013</v>
      </c>
      <c r="D1" s="55" t="s">
        <v>1014</v>
      </c>
      <c r="E1" s="55" t="s">
        <v>1015</v>
      </c>
      <c r="F1" s="55" t="s">
        <v>1029</v>
      </c>
    </row>
    <row r="2" spans="1:6">
      <c r="A2" s="54" t="str">
        <f>_xlfn.XLOOKUP(D2,sheet2!E:E,sheet2!B:B,1,0)</f>
        <v>West</v>
      </c>
      <c r="B2" s="56" t="s">
        <v>3</v>
      </c>
      <c r="C2" s="56" t="s">
        <v>21</v>
      </c>
      <c r="D2" s="56" t="s">
        <v>22</v>
      </c>
      <c r="E2" s="56">
        <v>8007696417</v>
      </c>
      <c r="F2" s="67">
        <f>E2</f>
        <v>8007696417</v>
      </c>
    </row>
    <row r="3" spans="1:6">
      <c r="A3" s="54" t="str">
        <f>_xlfn.XLOOKUP(D3,sheet2!E:E,sheet2!B:B,1,0)</f>
        <v>South</v>
      </c>
      <c r="B3" s="56" t="s">
        <v>3</v>
      </c>
      <c r="C3" s="56" t="s">
        <v>31</v>
      </c>
      <c r="D3" s="56" t="s">
        <v>32</v>
      </c>
      <c r="E3" s="56" t="s">
        <v>33</v>
      </c>
      <c r="F3" s="67" t="str">
        <f t="shared" ref="F3:F66" si="0">E3</f>
        <v>98030 91594</v>
      </c>
    </row>
    <row r="4" spans="1:6">
      <c r="A4" s="54" t="str">
        <f>_xlfn.XLOOKUP(D4,sheet2!E:E,sheet2!B:B,1,0)</f>
        <v>West</v>
      </c>
      <c r="B4" s="56" t="s">
        <v>3</v>
      </c>
      <c r="C4" s="56" t="s">
        <v>49</v>
      </c>
      <c r="D4" s="56" t="s">
        <v>50</v>
      </c>
      <c r="E4" s="56">
        <v>9004551388</v>
      </c>
      <c r="F4" s="67">
        <f t="shared" si="0"/>
        <v>9004551388</v>
      </c>
    </row>
    <row r="5" spans="1:6">
      <c r="A5" s="54" t="str">
        <f>_xlfn.XLOOKUP(D5,sheet2!E:E,sheet2!B:B,1,0)</f>
        <v>East</v>
      </c>
      <c r="B5" s="56" t="s">
        <v>3</v>
      </c>
      <c r="C5" s="56" t="s">
        <v>78</v>
      </c>
      <c r="D5" s="56" t="s">
        <v>79</v>
      </c>
      <c r="E5" s="56">
        <v>7001020075</v>
      </c>
      <c r="F5" s="67">
        <f t="shared" si="0"/>
        <v>7001020075</v>
      </c>
    </row>
    <row r="6" spans="1:6">
      <c r="A6" s="54" t="str">
        <f>_xlfn.XLOOKUP(D6,sheet2!E:E,sheet2!B:B,1,0)</f>
        <v>North</v>
      </c>
      <c r="B6" s="56" t="s">
        <v>3</v>
      </c>
      <c r="C6" s="56" t="s">
        <v>103</v>
      </c>
      <c r="D6" s="56" t="s">
        <v>104</v>
      </c>
      <c r="E6" s="56">
        <v>8097928258</v>
      </c>
      <c r="F6" s="67">
        <f t="shared" si="0"/>
        <v>8097928258</v>
      </c>
    </row>
    <row r="7" spans="1:6">
      <c r="A7" s="54" t="str">
        <f>_xlfn.XLOOKUP(D7,sheet2!E:E,sheet2!B:B,1,0)</f>
        <v>North</v>
      </c>
      <c r="B7" s="56" t="s">
        <v>3</v>
      </c>
      <c r="C7" s="56" t="s">
        <v>110</v>
      </c>
      <c r="D7" s="56" t="s">
        <v>111</v>
      </c>
      <c r="E7" s="56">
        <v>9582713760</v>
      </c>
      <c r="F7" s="67">
        <f t="shared" si="0"/>
        <v>9582713760</v>
      </c>
    </row>
    <row r="8" spans="1:6">
      <c r="A8" s="54" t="str">
        <f>_xlfn.XLOOKUP(D8,sheet2!E:E,sheet2!B:B,1,0)</f>
        <v>North</v>
      </c>
      <c r="B8" s="56" t="s">
        <v>3</v>
      </c>
      <c r="C8" s="56" t="s">
        <v>234</v>
      </c>
      <c r="D8" s="56" t="s">
        <v>235</v>
      </c>
      <c r="E8" s="56">
        <v>8591391390</v>
      </c>
      <c r="F8" s="67">
        <f t="shared" si="0"/>
        <v>8591391390</v>
      </c>
    </row>
    <row r="9" spans="1:6">
      <c r="A9" s="54" t="str">
        <f>_xlfn.XLOOKUP(D9,sheet2!H:H,sheet2!B:B,1,0)</f>
        <v>West</v>
      </c>
      <c r="B9" s="56" t="s">
        <v>6</v>
      </c>
      <c r="C9" s="56" t="s">
        <v>23</v>
      </c>
      <c r="D9" s="56" t="s">
        <v>24</v>
      </c>
      <c r="E9" s="56">
        <v>8160593572</v>
      </c>
      <c r="F9" s="67">
        <f t="shared" si="0"/>
        <v>8160593572</v>
      </c>
    </row>
    <row r="10" spans="1:6">
      <c r="A10" s="54" t="str">
        <f>_xlfn.XLOOKUP(D10,sheet2!H:H,sheet2!B:B,1,0)</f>
        <v>South</v>
      </c>
      <c r="B10" s="56" t="s">
        <v>6</v>
      </c>
      <c r="C10" s="56" t="s">
        <v>34</v>
      </c>
      <c r="D10" s="56" t="s">
        <v>35</v>
      </c>
      <c r="E10" s="56">
        <v>9497320464</v>
      </c>
      <c r="F10" s="67">
        <f t="shared" si="0"/>
        <v>9497320464</v>
      </c>
    </row>
    <row r="11" spans="1:6">
      <c r="A11" s="54" t="str">
        <f>_xlfn.XLOOKUP(D11,sheet2!H:H,sheet2!B:B,1,0)</f>
        <v>South</v>
      </c>
      <c r="B11" s="56" t="s">
        <v>6</v>
      </c>
      <c r="C11" s="56" t="s">
        <v>42</v>
      </c>
      <c r="D11" s="56" t="s">
        <v>43</v>
      </c>
      <c r="E11" s="56">
        <v>6363387963</v>
      </c>
      <c r="F11" s="67">
        <f t="shared" si="0"/>
        <v>6363387963</v>
      </c>
    </row>
    <row r="12" spans="1:6">
      <c r="A12" s="54" t="str">
        <f>_xlfn.XLOOKUP(D12,sheet2!H:H,sheet2!B:B,1,0)</f>
        <v>West</v>
      </c>
      <c r="B12" s="56" t="s">
        <v>6</v>
      </c>
      <c r="C12" s="56" t="s">
        <v>51</v>
      </c>
      <c r="D12" s="56" t="s">
        <v>52</v>
      </c>
      <c r="E12" s="56">
        <v>8355872770</v>
      </c>
      <c r="F12" s="67">
        <f t="shared" si="0"/>
        <v>8355872770</v>
      </c>
    </row>
    <row r="13" spans="1:6">
      <c r="A13" s="54" t="str">
        <f>_xlfn.XLOOKUP(D13,sheet2!H:H,sheet2!B:B,1,0)</f>
        <v>West</v>
      </c>
      <c r="B13" s="56" t="s">
        <v>6</v>
      </c>
      <c r="C13" s="56" t="s">
        <v>59</v>
      </c>
      <c r="D13" s="56" t="s">
        <v>565</v>
      </c>
      <c r="E13" s="56">
        <v>9969276834</v>
      </c>
      <c r="F13" s="67">
        <f t="shared" si="0"/>
        <v>9969276834</v>
      </c>
    </row>
    <row r="14" spans="1:6">
      <c r="A14" s="54" t="str">
        <f>_xlfn.XLOOKUP(D14,sheet2!H:H,sheet2!B:B,1,0)</f>
        <v>West</v>
      </c>
      <c r="B14" s="56" t="s">
        <v>6</v>
      </c>
      <c r="C14" s="56" t="s">
        <v>68</v>
      </c>
      <c r="D14" s="56" t="s">
        <v>69</v>
      </c>
      <c r="E14" s="56">
        <v>7024477807</v>
      </c>
      <c r="F14" s="67">
        <f t="shared" si="0"/>
        <v>7024477807</v>
      </c>
    </row>
    <row r="15" spans="1:6">
      <c r="A15" s="54" t="str">
        <f>_xlfn.XLOOKUP(D15,sheet2!H:H,sheet2!B:B,1,0)</f>
        <v>East</v>
      </c>
      <c r="B15" s="56" t="s">
        <v>6</v>
      </c>
      <c r="C15" s="56" t="s">
        <v>80</v>
      </c>
      <c r="D15" s="56" t="s">
        <v>81</v>
      </c>
      <c r="E15" s="56">
        <v>9124377820</v>
      </c>
      <c r="F15" s="67">
        <f t="shared" si="0"/>
        <v>9124377820</v>
      </c>
    </row>
    <row r="16" spans="1:6">
      <c r="A16" s="54" t="str">
        <f>_xlfn.XLOOKUP(D16,sheet2!H:H,sheet2!B:B,1,0)</f>
        <v>South</v>
      </c>
      <c r="B16" s="56" t="s">
        <v>6</v>
      </c>
      <c r="C16" s="56" t="s">
        <v>92</v>
      </c>
      <c r="D16" s="56" t="s">
        <v>93</v>
      </c>
      <c r="E16" s="56">
        <v>7358110674</v>
      </c>
      <c r="F16" s="67">
        <f t="shared" si="0"/>
        <v>7358110674</v>
      </c>
    </row>
    <row r="17" spans="1:6">
      <c r="A17" s="54" t="str">
        <f>_xlfn.XLOOKUP(D17,sheet2!H:H,sheet2!B:B,1,0)</f>
        <v>North</v>
      </c>
      <c r="B17" s="56" t="s">
        <v>6</v>
      </c>
      <c r="C17" s="56" t="s">
        <v>105</v>
      </c>
      <c r="D17" s="56" t="s">
        <v>106</v>
      </c>
      <c r="E17" s="56">
        <v>9166587996</v>
      </c>
      <c r="F17" s="67">
        <f t="shared" si="0"/>
        <v>9166587996</v>
      </c>
    </row>
    <row r="18" spans="1:6">
      <c r="A18" s="54" t="str">
        <f>_xlfn.XLOOKUP(D18,sheet2!H:H,sheet2!B:B,1,0)</f>
        <v>North</v>
      </c>
      <c r="B18" s="56" t="s">
        <v>6</v>
      </c>
      <c r="C18" s="56" t="s">
        <v>112</v>
      </c>
      <c r="D18" s="56" t="s">
        <v>113</v>
      </c>
      <c r="E18" s="56">
        <v>9212555696</v>
      </c>
      <c r="F18" s="67">
        <f t="shared" si="0"/>
        <v>9212555696</v>
      </c>
    </row>
    <row r="19" spans="1:6">
      <c r="A19" s="54" t="str">
        <f>_xlfn.XLOOKUP(D19,sheet2!H:H,sheet2!B:B,1,0)</f>
        <v>North</v>
      </c>
      <c r="B19" s="56" t="s">
        <v>6</v>
      </c>
      <c r="C19" s="56" t="s">
        <v>119</v>
      </c>
      <c r="D19" s="56" t="s">
        <v>120</v>
      </c>
      <c r="E19" s="56">
        <v>9257905437</v>
      </c>
      <c r="F19" s="67">
        <f t="shared" si="0"/>
        <v>9257905437</v>
      </c>
    </row>
    <row r="20" spans="1:6">
      <c r="A20" s="54" t="str">
        <f>_xlfn.XLOOKUP(D20,sheet2!H:H,sheet2!B:B,1,0)</f>
        <v>North</v>
      </c>
      <c r="B20" s="56" t="s">
        <v>6</v>
      </c>
      <c r="C20" s="56" t="s">
        <v>135</v>
      </c>
      <c r="D20" s="56" t="s">
        <v>136</v>
      </c>
      <c r="E20" s="56">
        <v>7291972416</v>
      </c>
      <c r="F20" s="67">
        <f t="shared" si="0"/>
        <v>7291972416</v>
      </c>
    </row>
    <row r="21" spans="1:6">
      <c r="A21" s="54" t="str">
        <f>_xlfn.XLOOKUP(D21,sheet2!H:H,sheet2!B:B,1,0)</f>
        <v>North</v>
      </c>
      <c r="B21" s="56" t="s">
        <v>6</v>
      </c>
      <c r="C21" s="56" t="s">
        <v>140</v>
      </c>
      <c r="D21" s="56" t="s">
        <v>141</v>
      </c>
      <c r="E21" s="56">
        <v>8527384707</v>
      </c>
      <c r="F21" s="67">
        <f t="shared" si="0"/>
        <v>8527384707</v>
      </c>
    </row>
    <row r="22" spans="1:6">
      <c r="A22" s="54" t="str">
        <f>_xlfn.XLOOKUP(D22,sheet2!H:H,sheet2!B:B,1,0)</f>
        <v>North</v>
      </c>
      <c r="B22" s="56" t="s">
        <v>6</v>
      </c>
      <c r="C22" s="56" t="s">
        <v>150</v>
      </c>
      <c r="D22" s="56" t="s">
        <v>151</v>
      </c>
      <c r="E22" s="56">
        <v>6388563799</v>
      </c>
      <c r="F22" s="67">
        <f t="shared" si="0"/>
        <v>6388563799</v>
      </c>
    </row>
    <row r="23" spans="1:6">
      <c r="A23" s="54" t="str">
        <f>_xlfn.XLOOKUP(D23,sheet2!H:H,sheet2!B:B,1,0)</f>
        <v>North</v>
      </c>
      <c r="B23" s="56" t="s">
        <v>6</v>
      </c>
      <c r="C23" s="56" t="s">
        <v>155</v>
      </c>
      <c r="D23" s="56" t="s">
        <v>156</v>
      </c>
      <c r="E23" s="56">
        <v>9266806499</v>
      </c>
      <c r="F23" s="67">
        <f t="shared" si="0"/>
        <v>9266806499</v>
      </c>
    </row>
    <row r="24" spans="1:6">
      <c r="A24" s="54" t="str">
        <f>_xlfn.XLOOKUP(D24,sheet2!H:H,sheet2!B:B,1,0)</f>
        <v>East</v>
      </c>
      <c r="B24" s="56" t="s">
        <v>6</v>
      </c>
      <c r="C24" s="56" t="s">
        <v>162</v>
      </c>
      <c r="D24" s="56" t="s">
        <v>163</v>
      </c>
      <c r="E24" s="56">
        <v>7979735523</v>
      </c>
      <c r="F24" s="67">
        <f t="shared" si="0"/>
        <v>7979735523</v>
      </c>
    </row>
    <row r="25" spans="1:6">
      <c r="A25" s="54" t="str">
        <f>_xlfn.XLOOKUP(D25,sheet2!H:H,sheet2!B:B,1,0)</f>
        <v>East</v>
      </c>
      <c r="B25" s="56" t="s">
        <v>6</v>
      </c>
      <c r="C25" s="56" t="s">
        <v>169</v>
      </c>
      <c r="D25" s="56" t="s">
        <v>170</v>
      </c>
      <c r="E25" s="56">
        <v>6000836880</v>
      </c>
      <c r="F25" s="67">
        <f t="shared" si="0"/>
        <v>6000836880</v>
      </c>
    </row>
    <row r="26" spans="1:6">
      <c r="A26" s="54" t="str">
        <f>_xlfn.XLOOKUP(D26,sheet2!H:H,sheet2!B:B,1,0)</f>
        <v>East</v>
      </c>
      <c r="B26" s="56" t="s">
        <v>6</v>
      </c>
      <c r="C26" s="56" t="s">
        <v>187</v>
      </c>
      <c r="D26" s="56" t="s">
        <v>188</v>
      </c>
      <c r="E26" s="56">
        <v>7001483429</v>
      </c>
      <c r="F26" s="67">
        <f t="shared" si="0"/>
        <v>7001483429</v>
      </c>
    </row>
    <row r="27" spans="1:6">
      <c r="A27" s="54" t="str">
        <f>_xlfn.XLOOKUP(D27,sheet2!H:H,sheet2!B:B,1,0)</f>
        <v>South</v>
      </c>
      <c r="B27" s="56" t="s">
        <v>6</v>
      </c>
      <c r="C27" s="56" t="s">
        <v>195</v>
      </c>
      <c r="D27" s="56" t="s">
        <v>196</v>
      </c>
      <c r="E27" s="56">
        <v>8550010045</v>
      </c>
      <c r="F27" s="67">
        <f t="shared" si="0"/>
        <v>8550010045</v>
      </c>
    </row>
    <row r="28" spans="1:6">
      <c r="A28" s="54" t="str">
        <f>_xlfn.XLOOKUP(D28,sheet2!H:H,sheet2!B:B,1,0)</f>
        <v>West</v>
      </c>
      <c r="B28" s="56" t="s">
        <v>6</v>
      </c>
      <c r="C28" s="56" t="s">
        <v>209</v>
      </c>
      <c r="D28" s="56" t="s">
        <v>210</v>
      </c>
      <c r="E28" s="56">
        <v>9413978081</v>
      </c>
      <c r="F28" s="67">
        <f t="shared" si="0"/>
        <v>9413978081</v>
      </c>
    </row>
    <row r="29" spans="1:6">
      <c r="A29" s="54" t="str">
        <f>_xlfn.XLOOKUP(D29,sheet2!H:H,sheet2!B:B,1,0)</f>
        <v>West</v>
      </c>
      <c r="B29" s="56" t="s">
        <v>6</v>
      </c>
      <c r="C29" s="56" t="s">
        <v>221</v>
      </c>
      <c r="D29" s="56" t="s">
        <v>222</v>
      </c>
      <c r="E29" s="56">
        <v>8826836418</v>
      </c>
      <c r="F29" s="67">
        <f t="shared" si="0"/>
        <v>8826836418</v>
      </c>
    </row>
    <row r="30" spans="1:6">
      <c r="A30" s="54" t="str">
        <f>_xlfn.XLOOKUP(D30,sheet2!H:H,sheet2!B:B,1,0)</f>
        <v>North</v>
      </c>
      <c r="B30" s="56" t="s">
        <v>6</v>
      </c>
      <c r="C30" s="56" t="s">
        <v>236</v>
      </c>
      <c r="D30" s="56" t="s">
        <v>237</v>
      </c>
      <c r="E30" s="56">
        <v>6393102570</v>
      </c>
      <c r="F30" s="67">
        <f t="shared" si="0"/>
        <v>6393102570</v>
      </c>
    </row>
    <row r="31" spans="1:6">
      <c r="A31" s="54" t="str">
        <f>_xlfn.XLOOKUP(D31,sheet2!H:H,sheet2!B:B,1,0)</f>
        <v>South</v>
      </c>
      <c r="B31" s="56" t="s">
        <v>6</v>
      </c>
      <c r="C31" s="56" t="s">
        <v>243</v>
      </c>
      <c r="D31" s="56" t="s">
        <v>244</v>
      </c>
      <c r="E31" s="56">
        <v>8129603774</v>
      </c>
      <c r="F31" s="67">
        <f t="shared" si="0"/>
        <v>8129603774</v>
      </c>
    </row>
    <row r="32" spans="1:6">
      <c r="A32" s="54" t="str">
        <f>_xlfn.XLOOKUP(D32,sheet2!H:H,sheet2!B:B,1,0)</f>
        <v>North</v>
      </c>
      <c r="B32" s="56" t="s">
        <v>6</v>
      </c>
      <c r="C32" s="56" t="s">
        <v>264</v>
      </c>
      <c r="D32" s="56" t="s">
        <v>265</v>
      </c>
      <c r="E32" s="56">
        <v>9888665095</v>
      </c>
      <c r="F32" s="67">
        <f t="shared" si="0"/>
        <v>9888665095</v>
      </c>
    </row>
    <row r="33" spans="1:6">
      <c r="A33" s="54" t="str">
        <f>_xlfn.XLOOKUP(D33,sheet2!H:H,sheet2!B:B,1,0)</f>
        <v>North</v>
      </c>
      <c r="B33" s="56" t="s">
        <v>6</v>
      </c>
      <c r="C33" s="56" t="s">
        <v>275</v>
      </c>
      <c r="D33" s="56" t="s">
        <v>276</v>
      </c>
      <c r="E33" s="56">
        <v>9999182731</v>
      </c>
      <c r="F33" s="67">
        <f t="shared" si="0"/>
        <v>9999182731</v>
      </c>
    </row>
    <row r="34" spans="1:6">
      <c r="A34" s="54" t="str">
        <f>_xlfn.XLOOKUP(D34,sheet2!H:H,sheet2!B:B,1,0)</f>
        <v>West</v>
      </c>
      <c r="B34" s="56" t="s">
        <v>6</v>
      </c>
      <c r="C34" s="56" t="s">
        <v>282</v>
      </c>
      <c r="D34" s="56" t="s">
        <v>283</v>
      </c>
      <c r="E34" s="56" t="s">
        <v>284</v>
      </c>
      <c r="F34" s="67" t="str">
        <f t="shared" si="0"/>
        <v>97301 82936</v>
      </c>
    </row>
    <row r="35" spans="1:6">
      <c r="A35" s="54" t="str">
        <f>_xlfn.XLOOKUP(D35,sheet2!H:H,sheet2!B:B,1,0)</f>
        <v>East</v>
      </c>
      <c r="B35" s="56" t="s">
        <v>6</v>
      </c>
      <c r="C35" s="56" t="s">
        <v>293</v>
      </c>
      <c r="D35" s="56" t="s">
        <v>294</v>
      </c>
      <c r="E35" s="56">
        <v>7992351620</v>
      </c>
      <c r="F35" s="67">
        <f t="shared" si="0"/>
        <v>7992351620</v>
      </c>
    </row>
    <row r="36" spans="1:6">
      <c r="A36" s="54" t="str">
        <f>_xlfn.XLOOKUP(D36,sheet2!H:H,sheet2!B:B,1,0)</f>
        <v>West</v>
      </c>
      <c r="B36" s="56" t="s">
        <v>6</v>
      </c>
      <c r="C36" s="56" t="s">
        <v>302</v>
      </c>
      <c r="D36" s="56" t="s">
        <v>303</v>
      </c>
      <c r="E36" s="56">
        <v>8806659691</v>
      </c>
      <c r="F36" s="67">
        <f t="shared" si="0"/>
        <v>8806659691</v>
      </c>
    </row>
    <row r="37" spans="1:6">
      <c r="A37" s="54" t="str">
        <f>_xlfn.XLOOKUP(D37,sheet2!H:H,sheet2!B:B,1,0)</f>
        <v>West</v>
      </c>
      <c r="B37" s="56" t="s">
        <v>6</v>
      </c>
      <c r="C37" s="56" t="s">
        <v>309</v>
      </c>
      <c r="D37" s="56" t="s">
        <v>310</v>
      </c>
      <c r="E37" s="56">
        <v>7028402715</v>
      </c>
      <c r="F37" s="67">
        <f t="shared" si="0"/>
        <v>7028402715</v>
      </c>
    </row>
    <row r="38" spans="1:6">
      <c r="A38" s="54" t="str">
        <f>_xlfn.XLOOKUP(D38,sheet2!H:H,sheet2!B:B,1,0)</f>
        <v>East</v>
      </c>
      <c r="B38" s="56" t="s">
        <v>6</v>
      </c>
      <c r="C38" s="56" t="s">
        <v>334</v>
      </c>
      <c r="D38" s="56" t="s">
        <v>335</v>
      </c>
      <c r="E38" s="56">
        <v>9303626268</v>
      </c>
      <c r="F38" s="67">
        <f t="shared" si="0"/>
        <v>9303626268</v>
      </c>
    </row>
    <row r="39" spans="1:6">
      <c r="A39" s="54" t="str">
        <f>_xlfn.XLOOKUP(D39,sheet2!H:H,sheet2!B:B,1,0)</f>
        <v>North</v>
      </c>
      <c r="B39" s="56" t="s">
        <v>6</v>
      </c>
      <c r="C39" s="56" t="s">
        <v>343</v>
      </c>
      <c r="D39" s="56" t="s">
        <v>344</v>
      </c>
      <c r="E39" s="56">
        <v>9027246940</v>
      </c>
      <c r="F39" s="67">
        <f t="shared" si="0"/>
        <v>9027246940</v>
      </c>
    </row>
    <row r="40" spans="1:6">
      <c r="A40" s="54" t="str">
        <f>_xlfn.XLOOKUP(D40,sheet2!H:H,sheet2!B:B,1,0)</f>
        <v>West</v>
      </c>
      <c r="B40" s="56" t="s">
        <v>6</v>
      </c>
      <c r="C40" s="56" t="s">
        <v>350</v>
      </c>
      <c r="D40" s="56" t="s">
        <v>351</v>
      </c>
      <c r="E40" s="56">
        <v>7698837388</v>
      </c>
      <c r="F40" s="67">
        <f t="shared" si="0"/>
        <v>7698837388</v>
      </c>
    </row>
    <row r="41" spans="1:6">
      <c r="A41" s="54" t="str">
        <f>_xlfn.XLOOKUP(D41,sheet2!H:H,sheet2!B:B,1,0)</f>
        <v>West</v>
      </c>
      <c r="B41" s="56" t="s">
        <v>6</v>
      </c>
      <c r="C41" s="56" t="s">
        <v>357</v>
      </c>
      <c r="D41" s="56" t="s">
        <v>358</v>
      </c>
      <c r="E41" s="56">
        <v>8930909315</v>
      </c>
      <c r="F41" s="67">
        <f t="shared" si="0"/>
        <v>8930909315</v>
      </c>
    </row>
    <row r="42" spans="1:6">
      <c r="A42" s="54" t="str">
        <f>_xlfn.XLOOKUP(D42,sheet2!H:H,sheet2!B:B,1,0)</f>
        <v>West</v>
      </c>
      <c r="B42" s="56" t="s">
        <v>6</v>
      </c>
      <c r="C42" s="56" t="s">
        <v>365</v>
      </c>
      <c r="D42" s="56" t="s">
        <v>366</v>
      </c>
      <c r="E42" s="56">
        <v>7016450894</v>
      </c>
      <c r="F42" s="67">
        <f t="shared" si="0"/>
        <v>7016450894</v>
      </c>
    </row>
    <row r="43" spans="1:6">
      <c r="A43" s="54" t="str">
        <f>_xlfn.XLOOKUP(D43,sheet2!H:H,sheet2!B:B,1,0)</f>
        <v>West</v>
      </c>
      <c r="B43" s="56" t="s">
        <v>6</v>
      </c>
      <c r="C43" s="56" t="s">
        <v>378</v>
      </c>
      <c r="D43" s="56" t="s">
        <v>379</v>
      </c>
      <c r="E43" s="56">
        <v>9099201055</v>
      </c>
      <c r="F43" s="67">
        <f t="shared" si="0"/>
        <v>9099201055</v>
      </c>
    </row>
    <row r="44" spans="1:6">
      <c r="A44" s="54" t="str">
        <f>_xlfn.XLOOKUP(D44,sheet2!H:H,sheet2!B:B,1,0)</f>
        <v>South</v>
      </c>
      <c r="B44" s="56" t="s">
        <v>6</v>
      </c>
      <c r="C44" s="56" t="s">
        <v>385</v>
      </c>
      <c r="D44" s="56" t="s">
        <v>386</v>
      </c>
      <c r="E44" s="56">
        <v>9133001077</v>
      </c>
      <c r="F44" s="67">
        <f t="shared" si="0"/>
        <v>9133001077</v>
      </c>
    </row>
    <row r="45" spans="1:6">
      <c r="A45" s="54" t="str">
        <f>_xlfn.XLOOKUP(D45,sheet2!H:H,sheet2!B:B,1,0)</f>
        <v>South</v>
      </c>
      <c r="B45" s="56" t="s">
        <v>6</v>
      </c>
      <c r="C45" s="56" t="s">
        <v>487</v>
      </c>
      <c r="D45" s="56" t="s">
        <v>488</v>
      </c>
      <c r="E45" s="56">
        <v>9994448658</v>
      </c>
      <c r="F45" s="67">
        <f t="shared" si="0"/>
        <v>9994448658</v>
      </c>
    </row>
    <row r="46" spans="1:6">
      <c r="A46" s="54" t="str">
        <f>_xlfn.XLOOKUP(D46,sheet2!H:H,sheet2!B:B,1,0)</f>
        <v>North</v>
      </c>
      <c r="B46" s="56" t="s">
        <v>6</v>
      </c>
      <c r="C46" s="56" t="s">
        <v>510</v>
      </c>
      <c r="D46" s="56" t="s">
        <v>511</v>
      </c>
      <c r="E46" s="56">
        <v>8010417770</v>
      </c>
      <c r="F46" s="67">
        <f t="shared" si="0"/>
        <v>8010417770</v>
      </c>
    </row>
    <row r="47" spans="1:6">
      <c r="A47" s="54" t="str">
        <f>_xlfn.XLOOKUP(D47,sheet2!H:H,sheet2!B:B,1,0)</f>
        <v>West</v>
      </c>
      <c r="B47" s="56" t="s">
        <v>6</v>
      </c>
      <c r="C47" s="56" t="s">
        <v>532</v>
      </c>
      <c r="D47" s="56" t="s">
        <v>533</v>
      </c>
      <c r="E47" s="56">
        <v>9766803981</v>
      </c>
      <c r="F47" s="67">
        <f t="shared" si="0"/>
        <v>9766803981</v>
      </c>
    </row>
    <row r="48" spans="1:6">
      <c r="A48" s="54" t="str">
        <f>_xlfn.XLOOKUP(D48,sheet2!H:H,sheet2!B:B,1,0)</f>
        <v>West</v>
      </c>
      <c r="B48" s="56" t="s">
        <v>6</v>
      </c>
      <c r="C48" s="56" t="s">
        <v>59</v>
      </c>
      <c r="D48" s="56" t="s">
        <v>565</v>
      </c>
      <c r="E48" s="56">
        <v>9969276834</v>
      </c>
      <c r="F48" s="67">
        <f t="shared" si="0"/>
        <v>9969276834</v>
      </c>
    </row>
    <row r="49" spans="1:6">
      <c r="A49" s="54" t="str">
        <f>_xlfn.XLOOKUP(D49,sheet2!H:H,sheet2!B:B,1,0)</f>
        <v>North</v>
      </c>
      <c r="B49" s="56" t="s">
        <v>6</v>
      </c>
      <c r="C49" s="56" t="s">
        <v>583</v>
      </c>
      <c r="D49" s="56" t="s">
        <v>584</v>
      </c>
      <c r="E49" s="56">
        <v>7500636152</v>
      </c>
      <c r="F49" s="67">
        <f t="shared" si="0"/>
        <v>7500636152</v>
      </c>
    </row>
    <row r="50" spans="1:6">
      <c r="A50" s="54" t="str">
        <f>_xlfn.XLOOKUP(D50,sheet2!H:H,sheet2!B:B,1,0)</f>
        <v>South</v>
      </c>
      <c r="B50" s="56" t="s">
        <v>6</v>
      </c>
      <c r="C50" s="56" t="s">
        <v>590</v>
      </c>
      <c r="D50" s="56" t="s">
        <v>591</v>
      </c>
      <c r="E50" s="56">
        <v>8074125321</v>
      </c>
      <c r="F50" s="67">
        <f t="shared" si="0"/>
        <v>8074125321</v>
      </c>
    </row>
    <row r="51" spans="1:6">
      <c r="A51" s="54" t="str">
        <f>_xlfn.XLOOKUP(D51,sheet2!H:H,sheet2!B:B,1,0)</f>
        <v>North</v>
      </c>
      <c r="B51" s="56" t="s">
        <v>6</v>
      </c>
      <c r="C51" s="56" t="s">
        <v>597</v>
      </c>
      <c r="D51" s="56" t="s">
        <v>598</v>
      </c>
      <c r="E51" s="56">
        <v>9871651231</v>
      </c>
      <c r="F51" s="67">
        <f t="shared" si="0"/>
        <v>9871651231</v>
      </c>
    </row>
    <row r="52" spans="1:6">
      <c r="A52" s="54" t="str">
        <f>_xlfn.XLOOKUP(D52,sheet2!H:H,sheet2!B:B,1,0)</f>
        <v>North</v>
      </c>
      <c r="B52" s="56" t="s">
        <v>6</v>
      </c>
      <c r="C52" s="56" t="s">
        <v>647</v>
      </c>
      <c r="D52" s="56" t="s">
        <v>648</v>
      </c>
      <c r="E52" s="56">
        <v>8588041335</v>
      </c>
      <c r="F52" s="67">
        <f t="shared" si="0"/>
        <v>8588041335</v>
      </c>
    </row>
    <row r="53" spans="1:6">
      <c r="A53" s="54" t="str">
        <f>_xlfn.XLOOKUP(D53,sheet2!H:H,sheet2!B:B,1,0)</f>
        <v>East</v>
      </c>
      <c r="B53" s="56" t="s">
        <v>6</v>
      </c>
      <c r="C53" s="56" t="s">
        <v>658</v>
      </c>
      <c r="D53" s="56" t="s">
        <v>659</v>
      </c>
      <c r="E53" s="56">
        <v>9546813432</v>
      </c>
      <c r="F53" s="67">
        <f t="shared" si="0"/>
        <v>9546813432</v>
      </c>
    </row>
    <row r="54" spans="1:6">
      <c r="A54" s="54" t="str">
        <f>_xlfn.XLOOKUP(D54,sheet2!H:H,sheet2!B:B,1,0)</f>
        <v>North</v>
      </c>
      <c r="B54" s="56" t="s">
        <v>6</v>
      </c>
      <c r="C54" s="57" t="s">
        <v>665</v>
      </c>
      <c r="D54" s="58" t="s">
        <v>666</v>
      </c>
      <c r="E54" s="56">
        <v>9858705037</v>
      </c>
      <c r="F54" s="67">
        <f t="shared" si="0"/>
        <v>9858705037</v>
      </c>
    </row>
    <row r="55" spans="1:6">
      <c r="A55" s="54" t="str">
        <f>_xlfn.XLOOKUP(D55,sheet2!H:H,sheet2!B:B,1,0)</f>
        <v>West</v>
      </c>
      <c r="B55" s="56" t="s">
        <v>6</v>
      </c>
      <c r="C55" s="56" t="s">
        <v>680</v>
      </c>
      <c r="D55" s="56" t="s">
        <v>681</v>
      </c>
      <c r="E55" s="56">
        <v>9712948673</v>
      </c>
      <c r="F55" s="67">
        <f t="shared" si="0"/>
        <v>9712948673</v>
      </c>
    </row>
    <row r="56" spans="1:6">
      <c r="A56" s="54" t="str">
        <f>_xlfn.XLOOKUP(D56,sheet2!K:K,sheet2!B:B,1,0)</f>
        <v>West</v>
      </c>
      <c r="B56" s="56" t="s">
        <v>1016</v>
      </c>
      <c r="C56" s="56" t="s">
        <v>25</v>
      </c>
      <c r="D56" s="56" t="s">
        <v>26</v>
      </c>
      <c r="E56" s="56">
        <v>9173700204</v>
      </c>
      <c r="F56" s="67">
        <f t="shared" si="0"/>
        <v>9173700204</v>
      </c>
    </row>
    <row r="57" spans="1:6">
      <c r="A57" s="54" t="str">
        <f>_xlfn.XLOOKUP(D57,sheet2!K:K,sheet2!B:B,1,0)</f>
        <v>South</v>
      </c>
      <c r="B57" s="56" t="s">
        <v>1016</v>
      </c>
      <c r="C57" s="56" t="s">
        <v>36</v>
      </c>
      <c r="D57" s="56" t="s">
        <v>37</v>
      </c>
      <c r="E57" s="56" t="s">
        <v>38</v>
      </c>
      <c r="F57" s="67" t="str">
        <f t="shared" si="0"/>
        <v>90366 61602</v>
      </c>
    </row>
    <row r="58" spans="1:6">
      <c r="A58" s="54" t="str">
        <f>_xlfn.XLOOKUP(D58,sheet2!K:K,sheet2!B:B,1,0)</f>
        <v>South</v>
      </c>
      <c r="B58" s="56" t="s">
        <v>1016</v>
      </c>
      <c r="C58" s="56" t="s">
        <v>44</v>
      </c>
      <c r="D58" s="56" t="s">
        <v>45</v>
      </c>
      <c r="E58" s="56">
        <v>7090078440</v>
      </c>
      <c r="F58" s="67">
        <f t="shared" si="0"/>
        <v>7090078440</v>
      </c>
    </row>
    <row r="59" spans="1:6">
      <c r="A59" s="54" t="str">
        <f>_xlfn.XLOOKUP(D59,sheet2!K:K,sheet2!B:B,1,0)</f>
        <v>West</v>
      </c>
      <c r="B59" s="56" t="s">
        <v>1016</v>
      </c>
      <c r="C59" s="56" t="s">
        <v>53</v>
      </c>
      <c r="D59" s="56" t="s">
        <v>54</v>
      </c>
      <c r="E59" s="56">
        <v>8888726472</v>
      </c>
      <c r="F59" s="67">
        <f t="shared" si="0"/>
        <v>8888726472</v>
      </c>
    </row>
    <row r="60" spans="1:6">
      <c r="A60" s="54" t="str">
        <f>_xlfn.XLOOKUP(D60,sheet2!K:K,sheet2!B:B,1,0)</f>
        <v>West</v>
      </c>
      <c r="B60" s="56" t="s">
        <v>1016</v>
      </c>
      <c r="C60" s="56" t="s">
        <v>62</v>
      </c>
      <c r="D60" s="56" t="s">
        <v>63</v>
      </c>
      <c r="E60" s="56">
        <v>7767908097</v>
      </c>
      <c r="F60" s="67">
        <f t="shared" si="0"/>
        <v>7767908097</v>
      </c>
    </row>
    <row r="61" spans="1:6">
      <c r="A61" s="54" t="str">
        <f>_xlfn.XLOOKUP(D61,sheet2!K:K,sheet2!B:B,1,0)</f>
        <v>West</v>
      </c>
      <c r="B61" s="56" t="s">
        <v>1016</v>
      </c>
      <c r="C61" s="56" t="s">
        <v>70</v>
      </c>
      <c r="D61" s="56" t="s">
        <v>71</v>
      </c>
      <c r="E61" s="56">
        <v>8591085838</v>
      </c>
      <c r="F61" s="67">
        <f t="shared" si="0"/>
        <v>8591085838</v>
      </c>
    </row>
    <row r="62" spans="1:6">
      <c r="A62" s="54" t="str">
        <f>_xlfn.XLOOKUP(D62,sheet2!K:K,sheet2!B:B,1,0)</f>
        <v>East</v>
      </c>
      <c r="B62" s="56" t="s">
        <v>1016</v>
      </c>
      <c r="C62" s="56" t="s">
        <v>82</v>
      </c>
      <c r="D62" s="56" t="s">
        <v>83</v>
      </c>
      <c r="E62" s="56">
        <v>8700962598</v>
      </c>
      <c r="F62" s="67">
        <f t="shared" si="0"/>
        <v>8700962598</v>
      </c>
    </row>
    <row r="63" spans="1:6">
      <c r="A63" s="54" t="str">
        <f>_xlfn.XLOOKUP(D63,sheet2!K:K,sheet2!B:B,1,0)</f>
        <v>East</v>
      </c>
      <c r="B63" s="56" t="s">
        <v>1016</v>
      </c>
      <c r="C63" s="56" t="s">
        <v>87</v>
      </c>
      <c r="D63" s="56" t="s">
        <v>88</v>
      </c>
      <c r="E63" s="56">
        <v>9668843849</v>
      </c>
      <c r="F63" s="67">
        <f t="shared" si="0"/>
        <v>9668843849</v>
      </c>
    </row>
    <row r="64" spans="1:6">
      <c r="A64" s="54" t="str">
        <f>_xlfn.XLOOKUP(D64,sheet2!K:K,sheet2!B:B,1,0)</f>
        <v>South</v>
      </c>
      <c r="B64" s="56" t="s">
        <v>1016</v>
      </c>
      <c r="C64" s="56" t="s">
        <v>94</v>
      </c>
      <c r="D64" s="56" t="s">
        <v>95</v>
      </c>
      <c r="E64" s="56">
        <v>6385797985</v>
      </c>
      <c r="F64" s="67">
        <f t="shared" si="0"/>
        <v>6385797985</v>
      </c>
    </row>
    <row r="65" spans="1:6">
      <c r="A65" s="54" t="str">
        <f>_xlfn.XLOOKUP(D65,sheet2!K:K,sheet2!B:B,1,0)</f>
        <v>North</v>
      </c>
      <c r="B65" s="56" t="s">
        <v>1016</v>
      </c>
      <c r="C65" s="56" t="s">
        <v>107</v>
      </c>
      <c r="D65" s="56" t="s">
        <v>108</v>
      </c>
      <c r="E65" s="59">
        <v>9451983805</v>
      </c>
      <c r="F65" s="67">
        <f t="shared" si="0"/>
        <v>9451983805</v>
      </c>
    </row>
    <row r="66" spans="1:6">
      <c r="A66" s="54" t="str">
        <f>_xlfn.XLOOKUP(D66,sheet2!K:K,sheet2!B:B,1,0)</f>
        <v>North</v>
      </c>
      <c r="B66" s="56" t="s">
        <v>1016</v>
      </c>
      <c r="C66" s="56" t="s">
        <v>114</v>
      </c>
      <c r="D66" s="56" t="s">
        <v>115</v>
      </c>
      <c r="E66" s="56">
        <v>6398993379</v>
      </c>
      <c r="F66" s="67">
        <f t="shared" si="0"/>
        <v>6398993379</v>
      </c>
    </row>
    <row r="67" spans="1:6">
      <c r="A67" s="54" t="str">
        <f>_xlfn.XLOOKUP(D67,sheet2!K:K,sheet2!B:B,1,0)</f>
        <v>North</v>
      </c>
      <c r="B67" s="56" t="s">
        <v>1016</v>
      </c>
      <c r="C67" s="56" t="s">
        <v>121</v>
      </c>
      <c r="D67" s="56" t="s">
        <v>122</v>
      </c>
      <c r="E67" s="56">
        <v>7701835822</v>
      </c>
      <c r="F67" s="67">
        <f t="shared" ref="F67:F129" si="1">E67</f>
        <v>7701835822</v>
      </c>
    </row>
    <row r="68" spans="1:6">
      <c r="A68" s="54" t="str">
        <f>_xlfn.XLOOKUP(D68,sheet2!K:K,sheet2!B:B,1,0)</f>
        <v>South</v>
      </c>
      <c r="B68" s="56" t="s">
        <v>1016</v>
      </c>
      <c r="C68" s="56" t="s">
        <v>127</v>
      </c>
      <c r="D68" s="56" t="s">
        <v>128</v>
      </c>
      <c r="E68" s="56" t="s">
        <v>129</v>
      </c>
      <c r="F68" s="67" t="str">
        <f t="shared" si="1"/>
        <v>7624961 553</v>
      </c>
    </row>
    <row r="69" spans="1:6">
      <c r="A69" s="54" t="str">
        <f>_xlfn.XLOOKUP(D69,sheet2!K:K,sheet2!B:B,1,0)</f>
        <v>North</v>
      </c>
      <c r="B69" s="56" t="s">
        <v>1016</v>
      </c>
      <c r="C69" s="56" t="s">
        <v>137</v>
      </c>
      <c r="D69" s="56" t="s">
        <v>138</v>
      </c>
      <c r="E69" s="56">
        <v>8234854147</v>
      </c>
      <c r="F69" s="67">
        <f t="shared" si="1"/>
        <v>8234854147</v>
      </c>
    </row>
    <row r="70" spans="1:6">
      <c r="A70" s="54" t="str">
        <f>_xlfn.XLOOKUP(D70,sheet2!K:K,sheet2!B:B,1,0)</f>
        <v>North</v>
      </c>
      <c r="B70" s="56" t="s">
        <v>1016</v>
      </c>
      <c r="C70" s="56" t="s">
        <v>142</v>
      </c>
      <c r="D70" s="60" t="s">
        <v>143</v>
      </c>
      <c r="E70" s="56">
        <v>8278982239</v>
      </c>
      <c r="F70" s="67">
        <f t="shared" si="1"/>
        <v>8278982239</v>
      </c>
    </row>
    <row r="71" spans="1:6">
      <c r="A71" s="54" t="str">
        <f>_xlfn.XLOOKUP(D71,sheet2!K:K,sheet2!B:B,1,0)</f>
        <v>North</v>
      </c>
      <c r="B71" s="56" t="s">
        <v>1016</v>
      </c>
      <c r="C71" s="56" t="s">
        <v>157</v>
      </c>
      <c r="D71" s="56" t="s">
        <v>158</v>
      </c>
      <c r="E71" s="56">
        <v>9718167299</v>
      </c>
      <c r="F71" s="67">
        <f t="shared" si="1"/>
        <v>9718167299</v>
      </c>
    </row>
    <row r="72" spans="1:6">
      <c r="A72" s="54" t="str">
        <f>_xlfn.XLOOKUP(D72,sheet2!K:K,sheet2!B:B,1,0)</f>
        <v>East</v>
      </c>
      <c r="B72" s="56" t="s">
        <v>1016</v>
      </c>
      <c r="C72" s="56" t="s">
        <v>164</v>
      </c>
      <c r="D72" s="56" t="s">
        <v>165</v>
      </c>
      <c r="E72" s="56">
        <v>9570715341</v>
      </c>
      <c r="F72" s="67">
        <f t="shared" si="1"/>
        <v>9570715341</v>
      </c>
    </row>
    <row r="73" spans="1:6">
      <c r="A73" s="54" t="str">
        <f>_xlfn.XLOOKUP(D73,sheet2!K:K,sheet2!B:B,1,0)</f>
        <v>East</v>
      </c>
      <c r="B73" s="56" t="s">
        <v>1016</v>
      </c>
      <c r="C73" s="56" t="s">
        <v>171</v>
      </c>
      <c r="D73" s="56" t="s">
        <v>172</v>
      </c>
      <c r="E73" s="56">
        <v>9387469513</v>
      </c>
      <c r="F73" s="67">
        <f t="shared" si="1"/>
        <v>9387469513</v>
      </c>
    </row>
    <row r="74" spans="1:6">
      <c r="A74" s="54" t="str">
        <f>_xlfn.XLOOKUP(D74,sheet2!K:K,sheet2!B:B,1,0)</f>
        <v>East</v>
      </c>
      <c r="B74" s="56" t="s">
        <v>1016</v>
      </c>
      <c r="C74" s="56" t="s">
        <v>178</v>
      </c>
      <c r="D74" s="56" t="s">
        <v>179</v>
      </c>
      <c r="E74" s="61">
        <v>8486874991</v>
      </c>
      <c r="F74" s="67">
        <f t="shared" si="1"/>
        <v>8486874991</v>
      </c>
    </row>
    <row r="75" spans="1:6">
      <c r="A75" s="54" t="str">
        <f>_xlfn.XLOOKUP(D75,sheet2!K:K,sheet2!B:B,1,0)</f>
        <v>North</v>
      </c>
      <c r="B75" s="56" t="s">
        <v>1016</v>
      </c>
      <c r="C75" s="56" t="s">
        <v>146</v>
      </c>
      <c r="D75" s="56" t="s">
        <v>182</v>
      </c>
      <c r="E75" s="56">
        <v>7027669312</v>
      </c>
      <c r="F75" s="67">
        <f t="shared" si="1"/>
        <v>7027669312</v>
      </c>
    </row>
    <row r="76" spans="1:6">
      <c r="A76" s="54" t="str">
        <f>_xlfn.XLOOKUP(D76,sheet2!K:K,sheet2!B:B,1,0)</f>
        <v>East</v>
      </c>
      <c r="B76" s="56" t="s">
        <v>1016</v>
      </c>
      <c r="C76" s="56" t="s">
        <v>189</v>
      </c>
      <c r="D76" s="56" t="s">
        <v>190</v>
      </c>
      <c r="E76" s="56">
        <v>6294745548</v>
      </c>
      <c r="F76" s="67">
        <f t="shared" si="1"/>
        <v>6294745548</v>
      </c>
    </row>
    <row r="77" spans="1:6">
      <c r="A77" s="54" t="str">
        <f>_xlfn.XLOOKUP(D77,sheet2!K:K,sheet2!B:B,1,0)</f>
        <v>South</v>
      </c>
      <c r="B77" s="56" t="s">
        <v>1016</v>
      </c>
      <c r="C77" s="59" t="s">
        <v>197</v>
      </c>
      <c r="D77" s="56" t="s">
        <v>198</v>
      </c>
      <c r="E77" s="56">
        <v>7981426204</v>
      </c>
      <c r="F77" s="67">
        <f t="shared" si="1"/>
        <v>7981426204</v>
      </c>
    </row>
    <row r="78" spans="1:6">
      <c r="A78" s="54" t="str">
        <f>_xlfn.XLOOKUP(D78,sheet2!K:K,sheet2!B:B,1,0)</f>
        <v>West</v>
      </c>
      <c r="B78" s="56" t="s">
        <v>1016</v>
      </c>
      <c r="C78" s="56" t="s">
        <v>202</v>
      </c>
      <c r="D78" s="56" t="s">
        <v>203</v>
      </c>
      <c r="E78" s="56">
        <v>7378792307</v>
      </c>
      <c r="F78" s="67">
        <f t="shared" si="1"/>
        <v>7378792307</v>
      </c>
    </row>
    <row r="79" spans="1:6">
      <c r="A79" s="54" t="str">
        <f>_xlfn.XLOOKUP(D79,sheet2!K:K,sheet2!B:B,1,0)</f>
        <v>West</v>
      </c>
      <c r="B79" s="56" t="s">
        <v>1016</v>
      </c>
      <c r="C79" s="56" t="s">
        <v>211</v>
      </c>
      <c r="D79" s="56" t="s">
        <v>212</v>
      </c>
      <c r="E79" s="56">
        <v>8192051386</v>
      </c>
      <c r="F79" s="67">
        <f t="shared" si="1"/>
        <v>8192051386</v>
      </c>
    </row>
    <row r="80" spans="1:6">
      <c r="A80" s="54" t="str">
        <f>_xlfn.XLOOKUP(D80,sheet2!K:K,sheet2!B:B,1,0)</f>
        <v>West</v>
      </c>
      <c r="B80" s="56" t="s">
        <v>1016</v>
      </c>
      <c r="C80" s="56" t="s">
        <v>216</v>
      </c>
      <c r="D80" s="56" t="s">
        <v>217</v>
      </c>
      <c r="E80" s="56">
        <v>6352662236</v>
      </c>
      <c r="F80" s="67">
        <f t="shared" si="1"/>
        <v>6352662236</v>
      </c>
    </row>
    <row r="81" spans="1:6">
      <c r="A81" s="54" t="str">
        <f>_xlfn.XLOOKUP(D81,sheet2!K:K,sheet2!B:B,1,0)</f>
        <v>West</v>
      </c>
      <c r="B81" s="56" t="s">
        <v>1016</v>
      </c>
      <c r="C81" s="56" t="s">
        <v>223</v>
      </c>
      <c r="D81" s="56" t="s">
        <v>224</v>
      </c>
      <c r="E81" s="56">
        <v>9358389188</v>
      </c>
      <c r="F81" s="67">
        <f t="shared" si="1"/>
        <v>9358389188</v>
      </c>
    </row>
    <row r="82" spans="1:6">
      <c r="A82" s="54" t="str">
        <f>_xlfn.XLOOKUP(D82,sheet2!K:K,sheet2!B:B,1,0)</f>
        <v>West</v>
      </c>
      <c r="B82" s="56" t="s">
        <v>1016</v>
      </c>
      <c r="C82" s="56" t="s">
        <v>229</v>
      </c>
      <c r="D82" s="56" t="s">
        <v>230</v>
      </c>
      <c r="E82" s="56">
        <v>8952933305</v>
      </c>
      <c r="F82" s="67">
        <f t="shared" si="1"/>
        <v>8952933305</v>
      </c>
    </row>
    <row r="83" spans="1:6">
      <c r="A83" s="54" t="str">
        <f>_xlfn.XLOOKUP(D83,sheet2!K:K,sheet2!B:B,1,0)</f>
        <v>North</v>
      </c>
      <c r="B83" s="56" t="s">
        <v>1016</v>
      </c>
      <c r="C83" s="56" t="s">
        <v>238</v>
      </c>
      <c r="D83" s="56" t="s">
        <v>239</v>
      </c>
      <c r="E83" s="56">
        <v>8400863508</v>
      </c>
      <c r="F83" s="67">
        <f t="shared" si="1"/>
        <v>8400863508</v>
      </c>
    </row>
    <row r="84" spans="1:6">
      <c r="A84" s="54" t="str">
        <f>_xlfn.XLOOKUP(D84,sheet2!K:K,sheet2!B:B,1,0)</f>
        <v>East</v>
      </c>
      <c r="B84" s="56" t="s">
        <v>1016</v>
      </c>
      <c r="C84" s="56" t="s">
        <v>246</v>
      </c>
      <c r="D84" s="56" t="s">
        <v>247</v>
      </c>
      <c r="E84" s="56">
        <v>8910122638</v>
      </c>
      <c r="F84" s="67">
        <f t="shared" si="1"/>
        <v>8910122638</v>
      </c>
    </row>
    <row r="85" spans="1:6">
      <c r="A85" s="54" t="str">
        <f>_xlfn.XLOOKUP(D85,sheet2!K:K,sheet2!B:B,1,0)</f>
        <v>North</v>
      </c>
      <c r="B85" s="56" t="s">
        <v>1016</v>
      </c>
      <c r="C85" s="56" t="s">
        <v>254</v>
      </c>
      <c r="D85" s="56" t="s">
        <v>255</v>
      </c>
      <c r="E85" s="56">
        <v>8922876280</v>
      </c>
      <c r="F85" s="67">
        <f t="shared" si="1"/>
        <v>8922876280</v>
      </c>
    </row>
    <row r="86" spans="1:6">
      <c r="A86" s="54" t="str">
        <f>_xlfn.XLOOKUP(D86,sheet2!K:K,sheet2!B:B,1,0)</f>
        <v>North</v>
      </c>
      <c r="B86" s="56" t="s">
        <v>1016</v>
      </c>
      <c r="C86" s="56" t="s">
        <v>259</v>
      </c>
      <c r="D86" s="56" t="s">
        <v>260</v>
      </c>
      <c r="E86" s="56">
        <v>8090632265</v>
      </c>
      <c r="F86" s="67">
        <f t="shared" si="1"/>
        <v>8090632265</v>
      </c>
    </row>
    <row r="87" spans="1:6">
      <c r="A87" s="54" t="str">
        <f>_xlfn.XLOOKUP(D87,sheet2!K:K,sheet2!B:B,1,0)</f>
        <v>North</v>
      </c>
      <c r="B87" s="56" t="s">
        <v>1016</v>
      </c>
      <c r="C87" s="56" t="s">
        <v>266</v>
      </c>
      <c r="D87" s="56" t="s">
        <v>267</v>
      </c>
      <c r="E87" s="56">
        <v>8847290992</v>
      </c>
      <c r="F87" s="67">
        <f t="shared" si="1"/>
        <v>8847290992</v>
      </c>
    </row>
    <row r="88" spans="1:6">
      <c r="A88" s="54" t="str">
        <f>_xlfn.XLOOKUP(D88,sheet2!K:K,sheet2!B:B,1,0)</f>
        <v>North</v>
      </c>
      <c r="B88" s="56" t="s">
        <v>1016</v>
      </c>
      <c r="C88" s="56" t="s">
        <v>268</v>
      </c>
      <c r="D88" s="56" t="s">
        <v>269</v>
      </c>
      <c r="E88" s="56" t="s">
        <v>270</v>
      </c>
      <c r="F88" s="67" t="str">
        <f t="shared" si="1"/>
        <v>97817 67191</v>
      </c>
    </row>
    <row r="89" spans="1:6">
      <c r="A89" s="54" t="str">
        <f>_xlfn.XLOOKUP(D89,sheet2!K:K,sheet2!B:B,1,0)</f>
        <v>North</v>
      </c>
      <c r="B89" s="56" t="s">
        <v>1016</v>
      </c>
      <c r="C89" s="56" t="s">
        <v>277</v>
      </c>
      <c r="D89" s="56" t="s">
        <v>278</v>
      </c>
      <c r="E89" s="56">
        <v>8708294939</v>
      </c>
      <c r="F89" s="67">
        <f t="shared" si="1"/>
        <v>8708294939</v>
      </c>
    </row>
    <row r="90" spans="1:6">
      <c r="A90" s="54" t="str">
        <f>_xlfn.XLOOKUP(D90,sheet2!K:K,sheet2!B:B,1,0)</f>
        <v>West</v>
      </c>
      <c r="B90" s="56" t="s">
        <v>1016</v>
      </c>
      <c r="C90" s="56" t="s">
        <v>285</v>
      </c>
      <c r="D90" s="56" t="s">
        <v>286</v>
      </c>
      <c r="E90" s="56" t="s">
        <v>287</v>
      </c>
      <c r="F90" s="67" t="str">
        <f t="shared" si="1"/>
        <v>98600 83678</v>
      </c>
    </row>
    <row r="91" spans="1:6">
      <c r="A91" s="54" t="str">
        <f>_xlfn.XLOOKUP(D91,sheet2!K:K,sheet2!B:B,1,0)</f>
        <v>East</v>
      </c>
      <c r="B91" s="56" t="s">
        <v>1016</v>
      </c>
      <c r="C91" s="56" t="s">
        <v>295</v>
      </c>
      <c r="D91" s="56" t="s">
        <v>296</v>
      </c>
      <c r="E91" s="56">
        <v>9709250151</v>
      </c>
      <c r="F91" s="67">
        <f t="shared" si="1"/>
        <v>9709250151</v>
      </c>
    </row>
    <row r="92" spans="1:6">
      <c r="A92" s="54" t="str">
        <f>_xlfn.XLOOKUP(D92,sheet2!K:K,sheet2!B:B,1,0)</f>
        <v>West</v>
      </c>
      <c r="B92" s="56" t="s">
        <v>1016</v>
      </c>
      <c r="C92" s="56" t="s">
        <v>311</v>
      </c>
      <c r="D92" s="56" t="s">
        <v>312</v>
      </c>
      <c r="E92" s="56">
        <v>9243766994</v>
      </c>
      <c r="F92" s="67">
        <f t="shared" si="1"/>
        <v>9243766994</v>
      </c>
    </row>
    <row r="93" spans="1:6">
      <c r="A93" s="54" t="str">
        <f>_xlfn.XLOOKUP(D93,sheet2!K:K,sheet2!B:B,1,0)</f>
        <v>East</v>
      </c>
      <c r="B93" s="56" t="s">
        <v>1016</v>
      </c>
      <c r="C93" s="56" t="s">
        <v>316</v>
      </c>
      <c r="D93" s="56" t="s">
        <v>317</v>
      </c>
      <c r="E93" s="56">
        <v>7004987908</v>
      </c>
      <c r="F93" s="67">
        <f t="shared" si="1"/>
        <v>7004987908</v>
      </c>
    </row>
    <row r="94" spans="1:6">
      <c r="A94" s="54" t="str">
        <f>_xlfn.XLOOKUP(D94,sheet2!K:K,sheet2!B:B,1,0)</f>
        <v>East</v>
      </c>
      <c r="B94" s="56" t="s">
        <v>1016</v>
      </c>
      <c r="C94" s="56" t="s">
        <v>322</v>
      </c>
      <c r="D94" s="56" t="s">
        <v>323</v>
      </c>
      <c r="E94" s="56">
        <v>8415860928</v>
      </c>
      <c r="F94" s="67">
        <f t="shared" si="1"/>
        <v>8415860928</v>
      </c>
    </row>
    <row r="95" spans="1:6">
      <c r="A95" s="54" t="str">
        <f>_xlfn.XLOOKUP(D95,sheet2!K:K,sheet2!B:B,1,0)</f>
        <v>East</v>
      </c>
      <c r="B95" s="56" t="s">
        <v>1016</v>
      </c>
      <c r="C95" s="56" t="s">
        <v>329</v>
      </c>
      <c r="D95" s="56" t="s">
        <v>330</v>
      </c>
      <c r="E95" s="56">
        <v>7002876911</v>
      </c>
      <c r="F95" s="67">
        <f t="shared" si="1"/>
        <v>7002876911</v>
      </c>
    </row>
    <row r="96" spans="1:6">
      <c r="A96" s="54" t="str">
        <f>_xlfn.XLOOKUP(D96,sheet2!K:K,sheet2!B:B,1,0)</f>
        <v>East</v>
      </c>
      <c r="B96" s="56" t="s">
        <v>1016</v>
      </c>
      <c r="C96" s="56" t="s">
        <v>336</v>
      </c>
      <c r="D96" s="56" t="s">
        <v>337</v>
      </c>
      <c r="E96" s="56">
        <v>7031340486</v>
      </c>
      <c r="F96" s="67">
        <f t="shared" si="1"/>
        <v>7031340486</v>
      </c>
    </row>
    <row r="97" spans="1:6">
      <c r="A97" s="54" t="str">
        <f>_xlfn.XLOOKUP(D97,sheet2!K:K,sheet2!B:B,1,0)</f>
        <v>North</v>
      </c>
      <c r="B97" s="56" t="s">
        <v>1016</v>
      </c>
      <c r="C97" s="56" t="s">
        <v>345</v>
      </c>
      <c r="D97" s="56" t="s">
        <v>346</v>
      </c>
      <c r="E97" s="56">
        <v>8285808090</v>
      </c>
      <c r="F97" s="67">
        <f t="shared" si="1"/>
        <v>8285808090</v>
      </c>
    </row>
    <row r="98" spans="1:6">
      <c r="A98" s="54" t="str">
        <f>_xlfn.XLOOKUP(D98,sheet2!K:K,sheet2!B:B,1,0)</f>
        <v>West</v>
      </c>
      <c r="B98" s="56" t="s">
        <v>1016</v>
      </c>
      <c r="C98" s="56" t="s">
        <v>352</v>
      </c>
      <c r="D98" s="56" t="s">
        <v>353</v>
      </c>
      <c r="E98" s="56">
        <v>8426846828</v>
      </c>
      <c r="F98" s="67">
        <f t="shared" si="1"/>
        <v>8426846828</v>
      </c>
    </row>
    <row r="99" spans="1:6">
      <c r="A99" s="54" t="str">
        <f>_xlfn.XLOOKUP(D99,sheet2!K:K,sheet2!B:B,1,0)</f>
        <v>West</v>
      </c>
      <c r="B99" s="56" t="s">
        <v>1016</v>
      </c>
      <c r="C99" s="56" t="s">
        <v>359</v>
      </c>
      <c r="D99" s="56" t="s">
        <v>360</v>
      </c>
      <c r="E99" s="56">
        <v>8690056113</v>
      </c>
      <c r="F99" s="67">
        <f t="shared" si="1"/>
        <v>8690056113</v>
      </c>
    </row>
    <row r="100" spans="1:6">
      <c r="A100" s="54" t="str">
        <f>_xlfn.XLOOKUP(D100,sheet2!K:K,sheet2!B:B,1,0)</f>
        <v>West</v>
      </c>
      <c r="B100" s="56" t="s">
        <v>1016</v>
      </c>
      <c r="C100" s="56" t="s">
        <v>354</v>
      </c>
      <c r="D100" s="56" t="s">
        <v>355</v>
      </c>
      <c r="E100" s="56">
        <v>9512281207</v>
      </c>
      <c r="F100" s="67">
        <f t="shared" si="1"/>
        <v>9512281207</v>
      </c>
    </row>
    <row r="101" spans="1:6">
      <c r="A101" s="54" t="str">
        <f>_xlfn.XLOOKUP(D101,sheet2!K:K,sheet2!B:B,1,0)</f>
        <v>West</v>
      </c>
      <c r="B101" s="56" t="s">
        <v>1016</v>
      </c>
      <c r="C101" s="56" t="s">
        <v>367</v>
      </c>
      <c r="D101" s="56" t="s">
        <v>368</v>
      </c>
      <c r="E101" s="56">
        <v>8855915553</v>
      </c>
      <c r="F101" s="67">
        <f t="shared" si="1"/>
        <v>8855915553</v>
      </c>
    </row>
    <row r="102" spans="1:6">
      <c r="A102" s="54" t="str">
        <f>_xlfn.XLOOKUP(D102,sheet2!K:K,sheet2!B:B,1,0)</f>
        <v>West</v>
      </c>
      <c r="B102" s="56" t="s">
        <v>1016</v>
      </c>
      <c r="C102" s="56" t="s">
        <v>372</v>
      </c>
      <c r="D102" s="56" t="s">
        <v>373</v>
      </c>
      <c r="E102" s="56">
        <v>9265430735</v>
      </c>
      <c r="F102" s="67">
        <f t="shared" si="1"/>
        <v>9265430735</v>
      </c>
    </row>
    <row r="103" spans="1:6">
      <c r="A103" s="54" t="str">
        <f>_xlfn.XLOOKUP(D103,sheet2!K:K,sheet2!B:B,1,0)</f>
        <v>West</v>
      </c>
      <c r="B103" s="56" t="s">
        <v>1016</v>
      </c>
      <c r="C103" s="56" t="s">
        <v>380</v>
      </c>
      <c r="D103" s="56" t="s">
        <v>381</v>
      </c>
      <c r="E103" s="56">
        <v>7990365788</v>
      </c>
      <c r="F103" s="67">
        <f t="shared" si="1"/>
        <v>7990365788</v>
      </c>
    </row>
    <row r="104" spans="1:6">
      <c r="A104" s="54" t="str">
        <f>_xlfn.XLOOKUP(D104,sheet2!K:K,sheet2!B:B,1,0)</f>
        <v>South</v>
      </c>
      <c r="B104" s="56" t="s">
        <v>1016</v>
      </c>
      <c r="C104" s="56" t="s">
        <v>1018</v>
      </c>
      <c r="D104" s="56" t="s">
        <v>387</v>
      </c>
      <c r="E104" s="56" t="s">
        <v>388</v>
      </c>
      <c r="F104" s="67" t="str">
        <f t="shared" si="1"/>
        <v>70131 58900</v>
      </c>
    </row>
    <row r="105" spans="1:6">
      <c r="A105" s="54" t="str">
        <f>_xlfn.XLOOKUP(D105,sheet2!K:K,sheet2!B:B,1,0)</f>
        <v>South</v>
      </c>
      <c r="B105" s="56" t="s">
        <v>1016</v>
      </c>
      <c r="C105" s="59" t="s">
        <v>392</v>
      </c>
      <c r="D105" s="56" t="s">
        <v>393</v>
      </c>
      <c r="E105" s="56">
        <v>8660613753</v>
      </c>
      <c r="F105" s="67">
        <f t="shared" si="1"/>
        <v>8660613753</v>
      </c>
    </row>
    <row r="106" spans="1:6">
      <c r="A106" s="54" t="str">
        <f>_xlfn.XLOOKUP(D106,sheet2!K:K,sheet2!B:B,1,0)</f>
        <v>North</v>
      </c>
      <c r="B106" s="56" t="s">
        <v>1016</v>
      </c>
      <c r="C106" s="56" t="s">
        <v>399</v>
      </c>
      <c r="D106" s="61" t="s">
        <v>400</v>
      </c>
      <c r="E106" s="56">
        <v>8700445098</v>
      </c>
      <c r="F106" s="67">
        <f t="shared" si="1"/>
        <v>8700445098</v>
      </c>
    </row>
    <row r="107" spans="1:6">
      <c r="A107" s="54" t="str">
        <f>_xlfn.XLOOKUP(D107,sheet2!K:K,sheet2!B:B,1,0)</f>
        <v>North</v>
      </c>
      <c r="B107" s="56" t="s">
        <v>1016</v>
      </c>
      <c r="C107" s="56" t="s">
        <v>405</v>
      </c>
      <c r="D107" s="56" t="s">
        <v>406</v>
      </c>
      <c r="E107" s="56">
        <v>9410016350</v>
      </c>
      <c r="F107" s="67">
        <f t="shared" si="1"/>
        <v>9410016350</v>
      </c>
    </row>
    <row r="108" spans="1:6">
      <c r="A108" s="54" t="str">
        <f>_xlfn.XLOOKUP(D108,sheet2!K:K,sheet2!B:B,1,0)</f>
        <v>East</v>
      </c>
      <c r="B108" s="56" t="s">
        <v>1016</v>
      </c>
      <c r="C108" s="56" t="s">
        <v>411</v>
      </c>
      <c r="D108" s="56" t="s">
        <v>412</v>
      </c>
      <c r="E108" s="56">
        <v>7352052463</v>
      </c>
      <c r="F108" s="67">
        <f t="shared" si="1"/>
        <v>7352052463</v>
      </c>
    </row>
    <row r="109" spans="1:6">
      <c r="A109" s="54" t="str">
        <f>_xlfn.XLOOKUP(D109,sheet2!K:K,sheet2!B:B,1,0)</f>
        <v>North</v>
      </c>
      <c r="B109" s="56" t="s">
        <v>1016</v>
      </c>
      <c r="C109" s="56" t="s">
        <v>418</v>
      </c>
      <c r="D109" s="56" t="s">
        <v>419</v>
      </c>
      <c r="E109" s="56">
        <v>9956219816</v>
      </c>
      <c r="F109" s="67">
        <f t="shared" si="1"/>
        <v>9956219816</v>
      </c>
    </row>
    <row r="110" spans="1:6">
      <c r="A110" s="54" t="str">
        <f>_xlfn.XLOOKUP(D110,sheet2!K:K,sheet2!B:B,1,0)</f>
        <v>West</v>
      </c>
      <c r="B110" s="56" t="s">
        <v>1016</v>
      </c>
      <c r="C110" s="56" t="s">
        <v>423</v>
      </c>
      <c r="D110" s="56" t="s">
        <v>424</v>
      </c>
      <c r="E110" s="56" t="s">
        <v>425</v>
      </c>
      <c r="F110" s="67" t="str">
        <f t="shared" si="1"/>
        <v>81205 71922</v>
      </c>
    </row>
    <row r="111" spans="1:6">
      <c r="A111" s="54" t="str">
        <f>_xlfn.XLOOKUP(D111,sheet2!K:K,sheet2!B:B,1,0)</f>
        <v>East</v>
      </c>
      <c r="B111" s="56" t="s">
        <v>1016</v>
      </c>
      <c r="C111" s="56" t="s">
        <v>431</v>
      </c>
      <c r="D111" s="56" t="s">
        <v>432</v>
      </c>
      <c r="E111" s="62">
        <v>8637837758</v>
      </c>
      <c r="F111" s="67">
        <f t="shared" si="1"/>
        <v>8637837758</v>
      </c>
    </row>
    <row r="112" spans="1:6">
      <c r="A112" s="54" t="str">
        <f>_xlfn.XLOOKUP(D112,sheet2!K:K,sheet2!B:B,1,0)</f>
        <v>West</v>
      </c>
      <c r="B112" s="56" t="s">
        <v>1016</v>
      </c>
      <c r="C112" s="56" t="s">
        <v>436</v>
      </c>
      <c r="D112" s="56" t="s">
        <v>437</v>
      </c>
      <c r="E112" s="56">
        <v>7588668369</v>
      </c>
      <c r="F112" s="67">
        <f t="shared" si="1"/>
        <v>7588668369</v>
      </c>
    </row>
    <row r="113" spans="1:6">
      <c r="A113" s="54" t="str">
        <f>_xlfn.XLOOKUP(D113,sheet2!K:K,sheet2!B:B,1,0)</f>
        <v>West</v>
      </c>
      <c r="B113" s="56" t="s">
        <v>1016</v>
      </c>
      <c r="C113" s="56" t="s">
        <v>441</v>
      </c>
      <c r="D113" s="62" t="s">
        <v>442</v>
      </c>
      <c r="E113" s="56">
        <v>8429844413</v>
      </c>
      <c r="F113" s="67">
        <f t="shared" si="1"/>
        <v>8429844413</v>
      </c>
    </row>
    <row r="114" spans="1:6">
      <c r="A114" s="54" t="str">
        <f>_xlfn.XLOOKUP(D114,sheet2!K:K,sheet2!B:B,1,0)</f>
        <v>East</v>
      </c>
      <c r="B114" s="56" t="s">
        <v>1016</v>
      </c>
      <c r="C114" s="56" t="s">
        <v>448</v>
      </c>
      <c r="D114" s="56" t="s">
        <v>449</v>
      </c>
      <c r="E114" s="56">
        <v>7278927626</v>
      </c>
      <c r="F114" s="67">
        <f t="shared" si="1"/>
        <v>7278927626</v>
      </c>
    </row>
    <row r="115" spans="1:6">
      <c r="A115" s="54" t="str">
        <f>_xlfn.XLOOKUP(D115,sheet2!K:K,sheet2!B:B,1,0)</f>
        <v>West</v>
      </c>
      <c r="B115" s="56" t="s">
        <v>1016</v>
      </c>
      <c r="C115" s="56" t="s">
        <v>456</v>
      </c>
      <c r="D115" s="56" t="s">
        <v>457</v>
      </c>
      <c r="E115" s="56">
        <v>8488823936</v>
      </c>
      <c r="F115" s="67">
        <f t="shared" si="1"/>
        <v>8488823936</v>
      </c>
    </row>
    <row r="116" spans="1:6">
      <c r="A116" s="54" t="str">
        <f>_xlfn.XLOOKUP(D116,sheet2!K:K,sheet2!B:B,1,0)</f>
        <v>West</v>
      </c>
      <c r="B116" s="56" t="s">
        <v>1016</v>
      </c>
      <c r="C116" s="56" t="s">
        <v>461</v>
      </c>
      <c r="D116" s="56" t="s">
        <v>462</v>
      </c>
      <c r="E116" s="56">
        <v>9695640704</v>
      </c>
      <c r="F116" s="67">
        <f t="shared" si="1"/>
        <v>9695640704</v>
      </c>
    </row>
    <row r="117" spans="1:6">
      <c r="A117" s="54" t="str">
        <f>_xlfn.XLOOKUP(D117,sheet2!K:K,sheet2!B:B,1,0)</f>
        <v>West</v>
      </c>
      <c r="B117" s="56" t="s">
        <v>1016</v>
      </c>
      <c r="C117" s="56" t="s">
        <v>464</v>
      </c>
      <c r="D117" s="56" t="s">
        <v>465</v>
      </c>
      <c r="E117" s="56">
        <v>9610771514</v>
      </c>
      <c r="F117" s="67">
        <f t="shared" si="1"/>
        <v>9610771514</v>
      </c>
    </row>
    <row r="118" spans="1:6">
      <c r="A118" s="54" t="str">
        <f>_xlfn.XLOOKUP(D118,sheet2!K:K,sheet2!B:B,1,0)</f>
        <v>West</v>
      </c>
      <c r="B118" s="56" t="s">
        <v>1016</v>
      </c>
      <c r="C118" s="56" t="s">
        <v>469</v>
      </c>
      <c r="D118" s="56" t="s">
        <v>470</v>
      </c>
      <c r="E118" s="56">
        <v>9997845742</v>
      </c>
      <c r="F118" s="67">
        <f t="shared" si="1"/>
        <v>9997845742</v>
      </c>
    </row>
    <row r="119" spans="1:6">
      <c r="A119" s="54" t="str">
        <f>_xlfn.XLOOKUP(D119,sheet2!K:K,sheet2!B:B,1,0)</f>
        <v>North</v>
      </c>
      <c r="B119" s="56" t="s">
        <v>1016</v>
      </c>
      <c r="C119" s="56" t="s">
        <v>472</v>
      </c>
      <c r="D119" s="56" t="s">
        <v>473</v>
      </c>
      <c r="E119" s="56">
        <v>8683813743</v>
      </c>
      <c r="F119" s="67">
        <f t="shared" si="1"/>
        <v>8683813743</v>
      </c>
    </row>
    <row r="120" spans="1:6">
      <c r="A120" s="54" t="str">
        <f>_xlfn.XLOOKUP(D120,sheet2!K:K,sheet2!B:B,1,0)</f>
        <v>East</v>
      </c>
      <c r="B120" s="56" t="s">
        <v>1016</v>
      </c>
      <c r="C120" s="56" t="s">
        <v>477</v>
      </c>
      <c r="D120" s="62" t="s">
        <v>478</v>
      </c>
      <c r="E120" s="56">
        <v>8210748344</v>
      </c>
      <c r="F120" s="67">
        <f t="shared" si="1"/>
        <v>8210748344</v>
      </c>
    </row>
    <row r="121" spans="1:6">
      <c r="A121" s="54" t="str">
        <f>_xlfn.XLOOKUP(D121,sheet2!K:K,sheet2!B:B,1,0)</f>
        <v>South</v>
      </c>
      <c r="B121" s="56" t="s">
        <v>1016</v>
      </c>
      <c r="C121" s="56" t="s">
        <v>489</v>
      </c>
      <c r="D121" s="56" t="s">
        <v>490</v>
      </c>
      <c r="E121" s="56">
        <v>8668045720</v>
      </c>
      <c r="F121" s="67">
        <f t="shared" si="1"/>
        <v>8668045720</v>
      </c>
    </row>
    <row r="122" spans="1:6">
      <c r="A122" s="54" t="str">
        <f>_xlfn.XLOOKUP(D122,sheet2!K:K,sheet2!B:B,1,0)</f>
        <v>South</v>
      </c>
      <c r="B122" s="56" t="s">
        <v>1016</v>
      </c>
      <c r="C122" s="56" t="s">
        <v>494</v>
      </c>
      <c r="D122" s="56" t="s">
        <v>495</v>
      </c>
      <c r="E122" s="56">
        <v>8825794847</v>
      </c>
      <c r="F122" s="67">
        <f t="shared" si="1"/>
        <v>8825794847</v>
      </c>
    </row>
    <row r="123" spans="1:6">
      <c r="A123" s="54" t="str">
        <f>_xlfn.XLOOKUP(D123,sheet2!K:K,sheet2!B:B,1,0)</f>
        <v>West</v>
      </c>
      <c r="B123" s="56" t="s">
        <v>1016</v>
      </c>
      <c r="C123" s="56" t="s">
        <v>502</v>
      </c>
      <c r="D123" s="56" t="s">
        <v>503</v>
      </c>
      <c r="E123" s="56">
        <v>9687358442</v>
      </c>
      <c r="F123" s="67">
        <f t="shared" si="1"/>
        <v>9687358442</v>
      </c>
    </row>
    <row r="124" spans="1:6">
      <c r="A124" s="54" t="str">
        <f>_xlfn.XLOOKUP(D124,sheet2!K:K,sheet2!B:B,1,0)</f>
        <v>East</v>
      </c>
      <c r="B124" s="56" t="s">
        <v>1016</v>
      </c>
      <c r="C124" s="56" t="s">
        <v>505</v>
      </c>
      <c r="D124" s="56" t="s">
        <v>506</v>
      </c>
      <c r="E124" s="56">
        <v>7449412609</v>
      </c>
      <c r="F124" s="67">
        <f t="shared" si="1"/>
        <v>7449412609</v>
      </c>
    </row>
    <row r="125" spans="1:6">
      <c r="A125" s="54" t="str">
        <f>_xlfn.XLOOKUP(D125,sheet2!K:K,sheet2!B:B,1,0)</f>
        <v>North</v>
      </c>
      <c r="B125" s="56" t="s">
        <v>1016</v>
      </c>
      <c r="C125" s="56" t="s">
        <v>512</v>
      </c>
      <c r="D125" s="56" t="s">
        <v>513</v>
      </c>
      <c r="E125" s="56">
        <v>9670622600</v>
      </c>
      <c r="F125" s="67">
        <f t="shared" si="1"/>
        <v>9670622600</v>
      </c>
    </row>
    <row r="126" spans="1:6">
      <c r="A126" s="54" t="str">
        <f>_xlfn.XLOOKUP(D126,sheet2!K:K,sheet2!B:B,1,0)</f>
        <v>South</v>
      </c>
      <c r="B126" s="56" t="s">
        <v>1016</v>
      </c>
      <c r="C126" s="56" t="s">
        <v>520</v>
      </c>
      <c r="D126" s="56" t="s">
        <v>521</v>
      </c>
      <c r="E126" s="56">
        <v>9071717181</v>
      </c>
      <c r="F126" s="67">
        <f t="shared" si="1"/>
        <v>9071717181</v>
      </c>
    </row>
    <row r="127" spans="1:6">
      <c r="A127" s="54" t="str">
        <f>_xlfn.XLOOKUP(D127,sheet2!K:K,sheet2!B:B,1,0)</f>
        <v>South</v>
      </c>
      <c r="B127" s="56" t="s">
        <v>1016</v>
      </c>
      <c r="C127" s="56" t="s">
        <v>1030</v>
      </c>
      <c r="D127" s="56" t="s">
        <v>528</v>
      </c>
      <c r="E127" s="56">
        <v>8098698690</v>
      </c>
      <c r="F127" s="67">
        <f t="shared" si="1"/>
        <v>8098698690</v>
      </c>
    </row>
    <row r="128" spans="1:6">
      <c r="A128" s="54" t="str">
        <f>_xlfn.XLOOKUP(D128,sheet2!K:K,sheet2!B:B,1,0)</f>
        <v>West</v>
      </c>
      <c r="B128" s="56" t="s">
        <v>1016</v>
      </c>
      <c r="C128" s="56" t="s">
        <v>534</v>
      </c>
      <c r="D128" s="56" t="s">
        <v>535</v>
      </c>
      <c r="E128" s="56" t="s">
        <v>536</v>
      </c>
      <c r="F128" s="67" t="str">
        <f t="shared" si="1"/>
        <v>6354 324 702</v>
      </c>
    </row>
    <row r="129" spans="1:6">
      <c r="A129" s="54" t="str">
        <f>_xlfn.XLOOKUP(D129,sheet2!K:K,sheet2!B:B,1,0)</f>
        <v>West</v>
      </c>
      <c r="B129" s="56" t="s">
        <v>1016</v>
      </c>
      <c r="C129" s="56" t="s">
        <v>538</v>
      </c>
      <c r="D129" s="56" t="s">
        <v>539</v>
      </c>
      <c r="E129" s="56">
        <v>9166141184</v>
      </c>
      <c r="F129" s="67">
        <f t="shared" si="1"/>
        <v>9166141184</v>
      </c>
    </row>
    <row r="130" spans="1:6">
      <c r="A130" s="54" t="str">
        <f>_xlfn.XLOOKUP(D130,sheet2!K:K,sheet2!B:B,1,0)</f>
        <v>West</v>
      </c>
      <c r="B130" s="56" t="s">
        <v>1016</v>
      </c>
      <c r="C130" s="56" t="s">
        <v>544</v>
      </c>
      <c r="D130" s="56" t="s">
        <v>545</v>
      </c>
      <c r="E130" s="56">
        <v>9301184536</v>
      </c>
      <c r="F130" s="67">
        <f t="shared" ref="F130:F193" si="2">E130</f>
        <v>9301184536</v>
      </c>
    </row>
    <row r="131" spans="1:6">
      <c r="A131" s="54" t="str">
        <f>_xlfn.XLOOKUP(D131,sheet2!K:K,sheet2!B:B,1,0)</f>
        <v>North</v>
      </c>
      <c r="B131" s="56" t="s">
        <v>1016</v>
      </c>
      <c r="C131" s="56" t="s">
        <v>549</v>
      </c>
      <c r="D131" s="56" t="s">
        <v>550</v>
      </c>
      <c r="E131" s="56">
        <v>7078460985</v>
      </c>
      <c r="F131" s="67">
        <f t="shared" si="2"/>
        <v>7078460985</v>
      </c>
    </row>
    <row r="132" spans="1:6">
      <c r="A132" s="54" t="str">
        <f>_xlfn.XLOOKUP(D132,sheet2!K:K,sheet2!B:B,1,0)</f>
        <v>West</v>
      </c>
      <c r="B132" s="56" t="s">
        <v>1016</v>
      </c>
      <c r="C132" s="56" t="s">
        <v>554</v>
      </c>
      <c r="D132" s="56" t="s">
        <v>555</v>
      </c>
      <c r="E132" s="56" t="s">
        <v>556</v>
      </c>
      <c r="F132" s="67" t="str">
        <f t="shared" si="2"/>
        <v>87803 55112</v>
      </c>
    </row>
    <row r="133" spans="1:6">
      <c r="A133" s="54" t="str">
        <f>_xlfn.XLOOKUP(D133,sheet2!K:K,sheet2!B:B,1,0)</f>
        <v>North</v>
      </c>
      <c r="B133" s="56" t="s">
        <v>1016</v>
      </c>
      <c r="C133" s="56" t="s">
        <v>558</v>
      </c>
      <c r="D133" s="56" t="s">
        <v>559</v>
      </c>
      <c r="E133" s="56">
        <v>9813607710</v>
      </c>
      <c r="F133" s="67">
        <f t="shared" si="2"/>
        <v>9813607710</v>
      </c>
    </row>
    <row r="134" spans="1:6">
      <c r="A134" s="54" t="str">
        <f>_xlfn.XLOOKUP(D134,sheet2!K:K,sheet2!B:B,1,0)</f>
        <v>West</v>
      </c>
      <c r="B134" s="56" t="s">
        <v>1016</v>
      </c>
      <c r="C134" s="56" t="s">
        <v>562</v>
      </c>
      <c r="D134" s="56" t="s">
        <v>563</v>
      </c>
      <c r="E134" s="56">
        <v>7202862501</v>
      </c>
      <c r="F134" s="67">
        <f t="shared" si="2"/>
        <v>7202862501</v>
      </c>
    </row>
    <row r="135" spans="1:6">
      <c r="A135" s="54" t="str">
        <f>_xlfn.XLOOKUP(D135,sheet2!K:K,sheet2!B:B,1,0)</f>
        <v>West</v>
      </c>
      <c r="B135" s="56" t="s">
        <v>1016</v>
      </c>
      <c r="C135" s="56" t="s">
        <v>566</v>
      </c>
      <c r="D135" s="56" t="s">
        <v>567</v>
      </c>
      <c r="E135" s="56">
        <v>9420477892</v>
      </c>
      <c r="F135" s="67">
        <f t="shared" si="2"/>
        <v>9420477892</v>
      </c>
    </row>
    <row r="136" spans="1:6">
      <c r="A136" s="54" t="str">
        <f>_xlfn.XLOOKUP(D136,sheet2!K:K,sheet2!B:B,1,0)</f>
        <v>West</v>
      </c>
      <c r="B136" s="56" t="s">
        <v>1016</v>
      </c>
      <c r="C136" s="56" t="s">
        <v>573</v>
      </c>
      <c r="D136" s="56" t="s">
        <v>574</v>
      </c>
      <c r="E136" s="56">
        <v>9136364631</v>
      </c>
      <c r="F136" s="67">
        <f t="shared" si="2"/>
        <v>9136364631</v>
      </c>
    </row>
    <row r="137" spans="1:6">
      <c r="A137" s="54" t="str">
        <f>_xlfn.XLOOKUP(D137,sheet2!K:K,sheet2!B:B,1,0)</f>
        <v>North</v>
      </c>
      <c r="B137" s="56" t="s">
        <v>1016</v>
      </c>
      <c r="C137" s="56" t="s">
        <v>578</v>
      </c>
      <c r="D137" s="56" t="s">
        <v>579</v>
      </c>
      <c r="E137" s="56">
        <v>8924962177</v>
      </c>
      <c r="F137" s="67">
        <f t="shared" si="2"/>
        <v>8924962177</v>
      </c>
    </row>
    <row r="138" spans="1:6">
      <c r="A138" s="54" t="str">
        <f>_xlfn.XLOOKUP(D138,sheet2!K:K,sheet2!B:B,1,0)</f>
        <v>North</v>
      </c>
      <c r="B138" s="56" t="s">
        <v>1016</v>
      </c>
      <c r="C138" s="56" t="s">
        <v>585</v>
      </c>
      <c r="D138" s="56" t="s">
        <v>586</v>
      </c>
      <c r="E138" s="56">
        <v>8439394921</v>
      </c>
      <c r="F138" s="67">
        <f t="shared" si="2"/>
        <v>8439394921</v>
      </c>
    </row>
    <row r="139" spans="1:6">
      <c r="A139" s="54" t="str">
        <f>_xlfn.XLOOKUP(D139,sheet2!K:K,sheet2!B:B,1,0)</f>
        <v>South</v>
      </c>
      <c r="B139" s="56" t="s">
        <v>1016</v>
      </c>
      <c r="C139" s="56" t="s">
        <v>592</v>
      </c>
      <c r="D139" s="56" t="s">
        <v>593</v>
      </c>
      <c r="E139" s="56">
        <v>9666481545</v>
      </c>
      <c r="F139" s="67">
        <f t="shared" si="2"/>
        <v>9666481545</v>
      </c>
    </row>
    <row r="140" spans="1:6">
      <c r="A140" s="54" t="str">
        <f>_xlfn.XLOOKUP(D140,sheet2!K:K,sheet2!B:B,1,0)</f>
        <v>North</v>
      </c>
      <c r="B140" s="56" t="s">
        <v>1016</v>
      </c>
      <c r="C140" s="56" t="s">
        <v>599</v>
      </c>
      <c r="D140" s="56" t="s">
        <v>600</v>
      </c>
      <c r="E140" s="56">
        <v>9588199624</v>
      </c>
      <c r="F140" s="67">
        <f t="shared" si="2"/>
        <v>9588199624</v>
      </c>
    </row>
    <row r="141" spans="1:6">
      <c r="A141" s="54" t="str">
        <f>_xlfn.XLOOKUP(D141,sheet2!K:K,sheet2!B:B,1,0)</f>
        <v>North</v>
      </c>
      <c r="B141" s="56" t="s">
        <v>1016</v>
      </c>
      <c r="C141" s="56" t="s">
        <v>578</v>
      </c>
      <c r="D141" s="56" t="s">
        <v>604</v>
      </c>
      <c r="E141" s="56">
        <v>9519180136</v>
      </c>
      <c r="F141" s="67">
        <f t="shared" si="2"/>
        <v>9519180136</v>
      </c>
    </row>
    <row r="142" spans="1:6">
      <c r="A142" s="54" t="str">
        <f>_xlfn.XLOOKUP(D142,sheet2!K:K,sheet2!B:B,1,0)</f>
        <v>South</v>
      </c>
      <c r="B142" s="56" t="s">
        <v>1016</v>
      </c>
      <c r="C142" s="56" t="s">
        <v>608</v>
      </c>
      <c r="D142" s="56" t="s">
        <v>609</v>
      </c>
      <c r="E142" s="56">
        <v>7889485410</v>
      </c>
      <c r="F142" s="67">
        <f t="shared" si="2"/>
        <v>7889485410</v>
      </c>
    </row>
    <row r="143" spans="1:6">
      <c r="A143" s="54" t="str">
        <f>_xlfn.XLOOKUP(D143,sheet2!K:K,sheet2!B:B,1,0)</f>
        <v>South</v>
      </c>
      <c r="B143" s="56" t="s">
        <v>1016</v>
      </c>
      <c r="C143" s="56" t="s">
        <v>611</v>
      </c>
      <c r="D143" s="56" t="s">
        <v>612</v>
      </c>
      <c r="E143" s="56">
        <v>9900549403</v>
      </c>
      <c r="F143" s="67">
        <f t="shared" si="2"/>
        <v>9900549403</v>
      </c>
    </row>
    <row r="144" spans="1:6">
      <c r="A144" s="54" t="str">
        <f>_xlfn.XLOOKUP(D144,sheet2!K:K,sheet2!B:B,1,0)</f>
        <v>West</v>
      </c>
      <c r="B144" s="56" t="s">
        <v>1016</v>
      </c>
      <c r="C144" s="56" t="s">
        <v>616</v>
      </c>
      <c r="D144" s="56" t="s">
        <v>617</v>
      </c>
      <c r="E144" s="56">
        <v>7984429471</v>
      </c>
      <c r="F144" s="67">
        <f t="shared" si="2"/>
        <v>7984429471</v>
      </c>
    </row>
    <row r="145" spans="1:6">
      <c r="A145" s="54" t="str">
        <f>_xlfn.XLOOKUP(D145,sheet2!K:K,sheet2!B:B,1,0)</f>
        <v>West</v>
      </c>
      <c r="B145" s="56" t="s">
        <v>1016</v>
      </c>
      <c r="C145" s="56" t="s">
        <v>621</v>
      </c>
      <c r="D145" s="56" t="s">
        <v>622</v>
      </c>
      <c r="E145" s="56">
        <v>9074396112</v>
      </c>
      <c r="F145" s="67">
        <f t="shared" si="2"/>
        <v>9074396112</v>
      </c>
    </row>
    <row r="146" spans="1:6">
      <c r="A146" s="54" t="str">
        <f>_xlfn.XLOOKUP(D146,sheet2!K:K,sheet2!B:B,1,0)</f>
        <v>South</v>
      </c>
      <c r="B146" s="56" t="s">
        <v>1016</v>
      </c>
      <c r="C146" s="56" t="s">
        <v>627</v>
      </c>
      <c r="D146" s="56" t="s">
        <v>627</v>
      </c>
      <c r="E146" s="62">
        <v>9985928248</v>
      </c>
      <c r="F146" s="67">
        <f t="shared" si="2"/>
        <v>9985928248</v>
      </c>
    </row>
    <row r="147" spans="1:6">
      <c r="A147" s="54" t="str">
        <f>_xlfn.XLOOKUP(D147,sheet2!K:K,sheet2!B:B,1,0)</f>
        <v>West</v>
      </c>
      <c r="B147" s="56" t="s">
        <v>1016</v>
      </c>
      <c r="C147" s="56" t="s">
        <v>633</v>
      </c>
      <c r="D147" s="56" t="s">
        <v>634</v>
      </c>
      <c r="E147" s="56">
        <v>9370641864</v>
      </c>
      <c r="F147" s="67">
        <f t="shared" si="2"/>
        <v>9370641864</v>
      </c>
    </row>
    <row r="148" spans="1:6">
      <c r="A148" s="54" t="str">
        <f>_xlfn.XLOOKUP(D148,sheet2!K:K,sheet2!B:B,1,0)</f>
        <v>North</v>
      </c>
      <c r="B148" s="56" t="s">
        <v>1016</v>
      </c>
      <c r="C148" s="56" t="s">
        <v>638</v>
      </c>
      <c r="D148" s="56" t="s">
        <v>639</v>
      </c>
      <c r="E148" s="56">
        <v>9690836794</v>
      </c>
      <c r="F148" s="67">
        <f t="shared" si="2"/>
        <v>9690836794</v>
      </c>
    </row>
    <row r="149" spans="1:6">
      <c r="A149" s="54" t="str">
        <f>_xlfn.XLOOKUP(D149,sheet2!K:K,sheet2!B:B,1,0)</f>
        <v>North</v>
      </c>
      <c r="B149" s="56" t="s">
        <v>1016</v>
      </c>
      <c r="C149" s="56" t="s">
        <v>642</v>
      </c>
      <c r="D149" s="56" t="s">
        <v>643</v>
      </c>
      <c r="E149" s="56">
        <v>7452063578</v>
      </c>
      <c r="F149" s="67">
        <f t="shared" si="2"/>
        <v>7452063578</v>
      </c>
    </row>
    <row r="150" spans="1:6">
      <c r="A150" s="54" t="str">
        <f>_xlfn.XLOOKUP(D150,sheet2!K:K,sheet2!B:B,1,0)</f>
        <v>North</v>
      </c>
      <c r="B150" s="56" t="s">
        <v>1016</v>
      </c>
      <c r="C150" s="56" t="s">
        <v>649</v>
      </c>
      <c r="D150" s="56" t="s">
        <v>650</v>
      </c>
      <c r="E150" s="56">
        <v>7899868644</v>
      </c>
      <c r="F150" s="67">
        <f t="shared" si="2"/>
        <v>7899868644</v>
      </c>
    </row>
    <row r="151" spans="1:6">
      <c r="A151" s="54" t="str">
        <f>_xlfn.XLOOKUP(D151,sheet2!K:K,sheet2!B:B,1,0)</f>
        <v>West</v>
      </c>
      <c r="B151" s="56" t="s">
        <v>1016</v>
      </c>
      <c r="C151" s="56" t="s">
        <v>654</v>
      </c>
      <c r="D151" s="56" t="s">
        <v>655</v>
      </c>
      <c r="E151" s="56">
        <v>9168377043</v>
      </c>
      <c r="F151" s="67">
        <f t="shared" si="2"/>
        <v>9168377043</v>
      </c>
    </row>
    <row r="152" spans="1:6">
      <c r="A152" s="54" t="str">
        <f>_xlfn.XLOOKUP(D152,sheet2!K:K,sheet2!B:B,1,0)</f>
        <v>East</v>
      </c>
      <c r="B152" s="56" t="s">
        <v>1016</v>
      </c>
      <c r="C152" s="56" t="s">
        <v>660</v>
      </c>
      <c r="D152" s="56" t="s">
        <v>661</v>
      </c>
      <c r="E152" s="56">
        <v>8949954119</v>
      </c>
      <c r="F152" s="67">
        <f t="shared" si="2"/>
        <v>8949954119</v>
      </c>
    </row>
    <row r="153" spans="1:6">
      <c r="A153" s="54" t="str">
        <f>_xlfn.XLOOKUP(D153,sheet2!K:K,sheet2!B:B,1,0)</f>
        <v>North</v>
      </c>
      <c r="B153" s="56" t="s">
        <v>1016</v>
      </c>
      <c r="C153" s="56" t="s">
        <v>667</v>
      </c>
      <c r="D153" s="56" t="s">
        <v>668</v>
      </c>
      <c r="E153" s="56">
        <v>8901471039</v>
      </c>
      <c r="F153" s="67">
        <f t="shared" si="2"/>
        <v>8901471039</v>
      </c>
    </row>
    <row r="154" spans="1:6">
      <c r="A154" s="54" t="str">
        <f>_xlfn.XLOOKUP(D154,sheet2!K:K,sheet2!B:B,1,0)</f>
        <v>West</v>
      </c>
      <c r="B154" s="56" t="s">
        <v>1016</v>
      </c>
      <c r="C154" s="56" t="s">
        <v>670</v>
      </c>
      <c r="D154" s="56" t="s">
        <v>671</v>
      </c>
      <c r="E154" s="56">
        <v>9782937212</v>
      </c>
      <c r="F154" s="67">
        <f t="shared" si="2"/>
        <v>9782937212</v>
      </c>
    </row>
    <row r="155" spans="1:6">
      <c r="A155" s="54" t="str">
        <f>_xlfn.XLOOKUP(D155,sheet2!K:K,sheet2!B:B,1,0)</f>
        <v>East</v>
      </c>
      <c r="B155" s="56" t="s">
        <v>1016</v>
      </c>
      <c r="C155" s="56" t="s">
        <v>673</v>
      </c>
      <c r="D155" s="56" t="s">
        <v>674</v>
      </c>
      <c r="E155" s="56">
        <v>8709632635</v>
      </c>
      <c r="F155" s="67">
        <f t="shared" si="2"/>
        <v>8709632635</v>
      </c>
    </row>
    <row r="156" spans="1:6">
      <c r="A156" s="54" t="str">
        <f>_xlfn.XLOOKUP(D156,sheet2!K:K,sheet2!B:B,1,0)</f>
        <v>West</v>
      </c>
      <c r="B156" s="56" t="s">
        <v>1016</v>
      </c>
      <c r="C156" s="56" t="s">
        <v>682</v>
      </c>
      <c r="D156" s="56" t="s">
        <v>683</v>
      </c>
      <c r="E156" s="56">
        <v>8982981396</v>
      </c>
      <c r="F156" s="67">
        <f t="shared" si="2"/>
        <v>8982981396</v>
      </c>
    </row>
    <row r="157" spans="1:6">
      <c r="A157" s="54" t="str">
        <f>_xlfn.XLOOKUP(D157,sheet2!K:K,sheet2!B:B,1,0)</f>
        <v>South</v>
      </c>
      <c r="B157" s="56" t="s">
        <v>1016</v>
      </c>
      <c r="C157" s="56" t="s">
        <v>688</v>
      </c>
      <c r="D157" s="56" t="s">
        <v>689</v>
      </c>
      <c r="E157" s="56">
        <v>8309775952</v>
      </c>
      <c r="F157" s="67">
        <f t="shared" si="2"/>
        <v>8309775952</v>
      </c>
    </row>
    <row r="158" spans="1:6">
      <c r="A158" s="54" t="str">
        <f>_xlfn.XLOOKUP(D158,sheet2!K:K,sheet2!B:B,1,0)</f>
        <v>East</v>
      </c>
      <c r="B158" s="56" t="s">
        <v>1016</v>
      </c>
      <c r="C158" s="56" t="s">
        <v>693</v>
      </c>
      <c r="D158" s="56" t="s">
        <v>694</v>
      </c>
      <c r="E158" s="56">
        <v>8178057683</v>
      </c>
      <c r="F158" s="67">
        <f t="shared" si="2"/>
        <v>8178057683</v>
      </c>
    </row>
    <row r="159" spans="1:6">
      <c r="A159" s="54" t="str">
        <f>_xlfn.XLOOKUP(D159,sheet2!K:K,sheet2!B:B,1,0)</f>
        <v>North</v>
      </c>
      <c r="B159" s="56" t="s">
        <v>1016</v>
      </c>
      <c r="C159" s="56" t="s">
        <v>700</v>
      </c>
      <c r="D159" s="56" t="s">
        <v>701</v>
      </c>
      <c r="E159" s="56">
        <v>8860284670</v>
      </c>
      <c r="F159" s="67">
        <f t="shared" si="2"/>
        <v>8860284670</v>
      </c>
    </row>
    <row r="160" spans="1:6">
      <c r="A160" s="54" t="str">
        <f>_xlfn.XLOOKUP(D160,sheet2!K:K,sheet2!B:B,1,0)</f>
        <v>South</v>
      </c>
      <c r="B160" s="56" t="s">
        <v>1016</v>
      </c>
      <c r="C160" s="56" t="s">
        <v>703</v>
      </c>
      <c r="D160" s="56" t="s">
        <v>704</v>
      </c>
      <c r="E160" s="56">
        <v>6309703197</v>
      </c>
      <c r="F160" s="67">
        <f t="shared" si="2"/>
        <v>6309703197</v>
      </c>
    </row>
    <row r="161" spans="1:6">
      <c r="A161" s="54" t="str">
        <f>_xlfn.XLOOKUP(D161,sheet2!K:K,sheet2!B:B,1,0)</f>
        <v>West</v>
      </c>
      <c r="B161" s="56" t="s">
        <v>1016</v>
      </c>
      <c r="C161" s="56" t="s">
        <v>708</v>
      </c>
      <c r="D161" s="56" t="s">
        <v>709</v>
      </c>
      <c r="E161" s="61">
        <v>9990171664</v>
      </c>
      <c r="F161" s="67">
        <f t="shared" si="2"/>
        <v>9990171664</v>
      </c>
    </row>
    <row r="162" spans="1:6">
      <c r="A162" s="54" t="str">
        <f>_xlfn.XLOOKUP(D162,sheet2!K:K,sheet2!B:B,1,0)</f>
        <v>East</v>
      </c>
      <c r="B162" s="56" t="s">
        <v>1016</v>
      </c>
      <c r="C162" s="56" t="s">
        <v>711</v>
      </c>
      <c r="D162" s="56" t="s">
        <v>712</v>
      </c>
      <c r="E162" s="56">
        <v>7033787504</v>
      </c>
      <c r="F162" s="67">
        <f t="shared" si="2"/>
        <v>7033787504</v>
      </c>
    </row>
    <row r="163" spans="1:6">
      <c r="A163" s="54" t="str">
        <f>_xlfn.XLOOKUP(D163,sheet2!K:K,sheet2!B:B,1,0)</f>
        <v>North</v>
      </c>
      <c r="B163" s="56" t="s">
        <v>1016</v>
      </c>
      <c r="C163" s="56" t="s">
        <v>716</v>
      </c>
      <c r="D163" s="56" t="s">
        <v>717</v>
      </c>
      <c r="E163" s="56">
        <v>8864936545</v>
      </c>
      <c r="F163" s="67">
        <f t="shared" si="2"/>
        <v>8864936545</v>
      </c>
    </row>
    <row r="164" spans="1:6">
      <c r="A164" s="54" t="str">
        <f>_xlfn.XLOOKUP(D164,sheet2!K:K,sheet2!B:B,1,0)</f>
        <v>West</v>
      </c>
      <c r="B164" s="56" t="s">
        <v>1016</v>
      </c>
      <c r="C164" s="56" t="s">
        <v>723</v>
      </c>
      <c r="D164" s="56" t="s">
        <v>724</v>
      </c>
      <c r="E164" s="56">
        <v>7340255068</v>
      </c>
      <c r="F164" s="67">
        <f t="shared" si="2"/>
        <v>7340255068</v>
      </c>
    </row>
    <row r="165" spans="1:6">
      <c r="A165" s="54" t="str">
        <f>_xlfn.XLOOKUP(D165,sheet2!K:K,sheet2!B:B,1,0)</f>
        <v>West</v>
      </c>
      <c r="B165" s="56" t="s">
        <v>1016</v>
      </c>
      <c r="C165" s="56" t="s">
        <v>728</v>
      </c>
      <c r="D165" s="56" t="s">
        <v>729</v>
      </c>
      <c r="E165" s="56">
        <v>7027651512</v>
      </c>
      <c r="F165" s="67">
        <f t="shared" si="2"/>
        <v>7027651512</v>
      </c>
    </row>
    <row r="166" spans="1:6">
      <c r="A166" s="54" t="str">
        <f>_xlfn.XLOOKUP(D166,sheet2!K:K,sheet2!B:B,1,0)</f>
        <v>North</v>
      </c>
      <c r="B166" s="56" t="s">
        <v>1016</v>
      </c>
      <c r="C166" s="56" t="s">
        <v>733</v>
      </c>
      <c r="D166" s="63" t="s">
        <v>734</v>
      </c>
      <c r="E166" s="56">
        <v>8448244830</v>
      </c>
      <c r="F166" s="67">
        <f t="shared" si="2"/>
        <v>8448244830</v>
      </c>
    </row>
    <row r="167" spans="1:6">
      <c r="A167" s="54" t="str">
        <f>_xlfn.XLOOKUP(D167,sheet2!K:K,sheet2!B:B,1,0)</f>
        <v>West</v>
      </c>
      <c r="B167" s="56" t="s">
        <v>1016</v>
      </c>
      <c r="C167" s="56" t="s">
        <v>738</v>
      </c>
      <c r="D167" s="56" t="s">
        <v>739</v>
      </c>
      <c r="E167" s="56">
        <v>9987140855</v>
      </c>
      <c r="F167" s="67">
        <f t="shared" si="2"/>
        <v>9987140855</v>
      </c>
    </row>
    <row r="168" spans="1:6">
      <c r="A168" s="54" t="str">
        <f>_xlfn.XLOOKUP(D168,sheet2!K:K,sheet2!B:B,1,0)</f>
        <v>North</v>
      </c>
      <c r="B168" s="56" t="s">
        <v>1016</v>
      </c>
      <c r="C168" s="56" t="s">
        <v>743</v>
      </c>
      <c r="D168" s="56" t="s">
        <v>744</v>
      </c>
      <c r="E168" s="56">
        <v>7503379592</v>
      </c>
      <c r="F168" s="67">
        <f t="shared" si="2"/>
        <v>7503379592</v>
      </c>
    </row>
    <row r="169" spans="1:6">
      <c r="A169" s="54" t="str">
        <f>_xlfn.XLOOKUP(D169,sheet2!K:K,sheet2!B:B,1,0)</f>
        <v>North</v>
      </c>
      <c r="B169" s="56" t="s">
        <v>1016</v>
      </c>
      <c r="C169" s="56" t="s">
        <v>748</v>
      </c>
      <c r="D169" s="56" t="s">
        <v>749</v>
      </c>
      <c r="E169" s="56">
        <v>8057179470</v>
      </c>
      <c r="F169" s="67">
        <f t="shared" si="2"/>
        <v>8057179470</v>
      </c>
    </row>
    <row r="170" spans="1:6">
      <c r="A170" s="54" t="str">
        <f>_xlfn.XLOOKUP(D170,sheet2!K:K,sheet2!B:B,1,0)</f>
        <v>North</v>
      </c>
      <c r="B170" s="56" t="s">
        <v>1016</v>
      </c>
      <c r="C170" s="56" t="s">
        <v>753</v>
      </c>
      <c r="D170" s="64" t="s">
        <v>754</v>
      </c>
      <c r="E170" s="56">
        <v>9711746381</v>
      </c>
      <c r="F170" s="67">
        <f t="shared" si="2"/>
        <v>9711746381</v>
      </c>
    </row>
    <row r="171" spans="1:6">
      <c r="A171" s="54" t="str">
        <f>_xlfn.XLOOKUP(D171,sheet2!K:K,sheet2!B:B,1,0)</f>
        <v>North</v>
      </c>
      <c r="B171" s="56" t="s">
        <v>1016</v>
      </c>
      <c r="C171" s="56" t="s">
        <v>721</v>
      </c>
      <c r="D171" s="56" t="s">
        <v>758</v>
      </c>
      <c r="E171" s="56">
        <v>9627312707</v>
      </c>
      <c r="F171" s="67">
        <f t="shared" si="2"/>
        <v>9627312707</v>
      </c>
    </row>
    <row r="172" spans="1:6">
      <c r="A172" s="54" t="str">
        <f>_xlfn.XLOOKUP(D172,sheet2!K:K,sheet2!B:B,1,0)</f>
        <v>East</v>
      </c>
      <c r="B172" s="56" t="s">
        <v>1016</v>
      </c>
      <c r="C172" s="56" t="s">
        <v>762</v>
      </c>
      <c r="D172" s="56" t="s">
        <v>763</v>
      </c>
      <c r="E172" s="56">
        <v>8509291655</v>
      </c>
      <c r="F172" s="67">
        <f t="shared" si="2"/>
        <v>8509291655</v>
      </c>
    </row>
    <row r="173" spans="1:6">
      <c r="A173" s="54" t="str">
        <f>_xlfn.XLOOKUP(D173,sheet2!K:K,sheet2!B:B,1,0)</f>
        <v>East</v>
      </c>
      <c r="B173" s="56" t="s">
        <v>1016</v>
      </c>
      <c r="C173" s="56" t="s">
        <v>771</v>
      </c>
      <c r="D173" s="56" t="s">
        <v>772</v>
      </c>
      <c r="E173" s="56">
        <v>9330433451</v>
      </c>
      <c r="F173" s="67">
        <f t="shared" si="2"/>
        <v>9330433451</v>
      </c>
    </row>
    <row r="174" spans="1:6">
      <c r="A174" s="54" t="str">
        <f>_xlfn.XLOOKUP(D174,sheet2!K:K,sheet2!B:B,1,0)</f>
        <v>East</v>
      </c>
      <c r="B174" s="56" t="s">
        <v>1016</v>
      </c>
      <c r="C174" s="56" t="s">
        <v>776</v>
      </c>
      <c r="D174" s="56" t="s">
        <v>777</v>
      </c>
      <c r="E174" s="56">
        <v>9123772371</v>
      </c>
      <c r="F174" s="67">
        <f t="shared" si="2"/>
        <v>9123772371</v>
      </c>
    </row>
    <row r="175" spans="1:6">
      <c r="A175" s="54" t="str">
        <f>_xlfn.XLOOKUP(D175,sheet2!K:K,sheet2!B:B,1,0)</f>
        <v>East</v>
      </c>
      <c r="B175" s="56" t="s">
        <v>1016</v>
      </c>
      <c r="C175" s="56" t="s">
        <v>783</v>
      </c>
      <c r="D175" s="60" t="s">
        <v>784</v>
      </c>
      <c r="E175" s="56">
        <v>9777620745</v>
      </c>
      <c r="F175" s="67">
        <f t="shared" si="2"/>
        <v>9777620745</v>
      </c>
    </row>
    <row r="176" spans="1:6">
      <c r="A176" s="54" t="str">
        <f>_xlfn.XLOOKUP(D176,sheet2!K:K,sheet2!B:B,1,0)</f>
        <v>North</v>
      </c>
      <c r="B176" s="56" t="s">
        <v>1016</v>
      </c>
      <c r="C176" s="56" t="s">
        <v>788</v>
      </c>
      <c r="D176" s="56" t="s">
        <v>789</v>
      </c>
      <c r="E176" s="56">
        <v>8433046869</v>
      </c>
      <c r="F176" s="67">
        <f t="shared" si="2"/>
        <v>8433046869</v>
      </c>
    </row>
    <row r="177" spans="1:6">
      <c r="A177" s="54" t="str">
        <f>_xlfn.XLOOKUP(D177,sheet2!K:K,sheet2!B:B,1,0)</f>
        <v>North</v>
      </c>
      <c r="B177" s="56" t="s">
        <v>1016</v>
      </c>
      <c r="C177" s="56" t="s">
        <v>743</v>
      </c>
      <c r="D177" s="56" t="s">
        <v>792</v>
      </c>
      <c r="E177" s="56">
        <v>8192050676</v>
      </c>
      <c r="F177" s="67">
        <f t="shared" si="2"/>
        <v>8192050676</v>
      </c>
    </row>
    <row r="178" spans="1:6">
      <c r="A178" s="54" t="str">
        <f>_xlfn.XLOOKUP(D178,sheet2!K:K,sheet2!B:B,1,0)</f>
        <v>South</v>
      </c>
      <c r="B178" s="56" t="s">
        <v>1016</v>
      </c>
      <c r="C178" s="56" t="s">
        <v>796</v>
      </c>
      <c r="D178" s="56" t="s">
        <v>797</v>
      </c>
      <c r="E178" s="56">
        <v>7204214516</v>
      </c>
      <c r="F178" s="67">
        <f t="shared" si="2"/>
        <v>7204214516</v>
      </c>
    </row>
    <row r="179" spans="1:6">
      <c r="A179" s="54" t="str">
        <f>_xlfn.XLOOKUP(D179,sheet2!K:K,sheet2!B:B,1,0)</f>
        <v>West</v>
      </c>
      <c r="B179" s="56" t="s">
        <v>1016</v>
      </c>
      <c r="C179" s="56" t="s">
        <v>74</v>
      </c>
      <c r="D179" s="56" t="s">
        <v>75</v>
      </c>
      <c r="E179" s="56">
        <v>8109234404</v>
      </c>
      <c r="F179" s="67">
        <f t="shared" si="2"/>
        <v>8109234404</v>
      </c>
    </row>
    <row r="180" spans="1:6">
      <c r="A180" s="54" t="str">
        <f>_xlfn.XLOOKUP(D180,sheet2!K:K,sheet2!B:B,1,0)</f>
        <v>West</v>
      </c>
      <c r="B180" s="56" t="s">
        <v>1016</v>
      </c>
      <c r="C180" s="56" t="s">
        <v>805</v>
      </c>
      <c r="D180" s="56" t="s">
        <v>806</v>
      </c>
      <c r="E180" s="56">
        <v>7827533548</v>
      </c>
      <c r="F180" s="67">
        <f t="shared" si="2"/>
        <v>7827533548</v>
      </c>
    </row>
    <row r="181" spans="1:6">
      <c r="A181" s="54" t="str">
        <f>_xlfn.XLOOKUP(D181,sheet2!K:K,sheet2!B:B,1,0)</f>
        <v>North</v>
      </c>
      <c r="B181" s="56" t="s">
        <v>1016</v>
      </c>
      <c r="C181" s="56" t="s">
        <v>808</v>
      </c>
      <c r="D181" s="56" t="s">
        <v>809</v>
      </c>
      <c r="E181" s="56">
        <v>8726728027</v>
      </c>
      <c r="F181" s="67">
        <f t="shared" si="2"/>
        <v>8726728027</v>
      </c>
    </row>
    <row r="182" spans="1:6">
      <c r="A182" s="54" t="str">
        <f>_xlfn.XLOOKUP(D182,sheet2!K:K,sheet2!B:B,1,0)</f>
        <v>West</v>
      </c>
      <c r="B182" s="56" t="s">
        <v>1016</v>
      </c>
      <c r="C182" s="56" t="s">
        <v>813</v>
      </c>
      <c r="D182" s="56" t="s">
        <v>814</v>
      </c>
      <c r="E182" s="56">
        <v>9669575993</v>
      </c>
      <c r="F182" s="67">
        <f t="shared" si="2"/>
        <v>9669575993</v>
      </c>
    </row>
    <row r="183" spans="1:6">
      <c r="A183" s="54" t="str">
        <f>_xlfn.XLOOKUP(D183,sheet2!K:K,sheet2!B:B,1,0)</f>
        <v>North</v>
      </c>
      <c r="B183" s="56" t="s">
        <v>1016</v>
      </c>
      <c r="C183" s="56" t="s">
        <v>817</v>
      </c>
      <c r="D183" s="56" t="s">
        <v>818</v>
      </c>
      <c r="E183" s="56">
        <v>9974555917</v>
      </c>
      <c r="F183" s="67">
        <f t="shared" si="2"/>
        <v>9974555917</v>
      </c>
    </row>
    <row r="184" spans="1:6">
      <c r="A184" s="54" t="str">
        <f>_xlfn.XLOOKUP(D184,sheet2!K:K,sheet2!B:B,1,0)</f>
        <v>West</v>
      </c>
      <c r="B184" s="56" t="s">
        <v>1016</v>
      </c>
      <c r="C184" s="56" t="s">
        <v>618</v>
      </c>
      <c r="D184" s="56" t="s">
        <v>619</v>
      </c>
      <c r="E184" s="56">
        <v>8349966315</v>
      </c>
      <c r="F184" s="67">
        <f t="shared" si="2"/>
        <v>8349966315</v>
      </c>
    </row>
    <row r="185" spans="1:6">
      <c r="A185" s="54" t="str">
        <f>_xlfn.XLOOKUP(D185,sheet2!K:K,sheet2!B:B,1,0)</f>
        <v>North</v>
      </c>
      <c r="B185" s="56" t="s">
        <v>1016</v>
      </c>
      <c r="C185" s="56" t="s">
        <v>826</v>
      </c>
      <c r="D185" s="56" t="s">
        <v>827</v>
      </c>
      <c r="E185" s="56">
        <v>7321052939</v>
      </c>
      <c r="F185" s="67">
        <f t="shared" si="2"/>
        <v>7321052939</v>
      </c>
    </row>
    <row r="186" spans="1:6">
      <c r="A186" s="54" t="str">
        <f>_xlfn.XLOOKUP(D186,sheet2!K:K,sheet2!B:B,1,0)</f>
        <v>South</v>
      </c>
      <c r="B186" s="56" t="s">
        <v>1016</v>
      </c>
      <c r="C186" s="56" t="s">
        <v>1021</v>
      </c>
      <c r="D186" s="56" t="s">
        <v>832</v>
      </c>
      <c r="E186" s="56">
        <v>9966553944</v>
      </c>
      <c r="F186" s="67">
        <f t="shared" si="2"/>
        <v>9966553944</v>
      </c>
    </row>
    <row r="187" spans="1:6">
      <c r="A187" s="54" t="str">
        <f>_xlfn.XLOOKUP(D187,sheet2!K:K,sheet2!B:B,1,0)</f>
        <v>West</v>
      </c>
      <c r="B187" s="56" t="s">
        <v>1016</v>
      </c>
      <c r="C187" s="56" t="s">
        <v>841</v>
      </c>
      <c r="D187" s="56" t="s">
        <v>842</v>
      </c>
      <c r="E187" s="56">
        <v>7877868720</v>
      </c>
      <c r="F187" s="67">
        <f t="shared" si="2"/>
        <v>7877868720</v>
      </c>
    </row>
    <row r="188" spans="1:6">
      <c r="A188" s="54" t="str">
        <f>_xlfn.XLOOKUP(D188,sheet2!K:K,sheet2!B:B,1,0)</f>
        <v>North</v>
      </c>
      <c r="B188" s="56" t="s">
        <v>1016</v>
      </c>
      <c r="C188" s="56" t="s">
        <v>844</v>
      </c>
      <c r="D188" s="56" t="s">
        <v>845</v>
      </c>
      <c r="E188" s="56">
        <v>8173086829</v>
      </c>
      <c r="F188" s="67">
        <f t="shared" si="2"/>
        <v>8173086829</v>
      </c>
    </row>
    <row r="189" spans="1:6">
      <c r="A189" s="54" t="str">
        <f>_xlfn.XLOOKUP(D189,sheet2!K:K,sheet2!B:B,1,0)</f>
        <v>South</v>
      </c>
      <c r="B189" s="56" t="s">
        <v>1016</v>
      </c>
      <c r="C189" s="56" t="s">
        <v>849</v>
      </c>
      <c r="D189" s="56" t="s">
        <v>850</v>
      </c>
      <c r="E189" s="56" t="s">
        <v>851</v>
      </c>
      <c r="F189" s="67" t="str">
        <f t="shared" si="2"/>
        <v>96866 49647</v>
      </c>
    </row>
    <row r="190" spans="1:6">
      <c r="A190" s="54" t="str">
        <f>_xlfn.XLOOKUP(D190,sheet2!K:K,sheet2!B:B,1,0)</f>
        <v>North</v>
      </c>
      <c r="B190" s="56" t="s">
        <v>1016</v>
      </c>
      <c r="C190" s="56" t="s">
        <v>855</v>
      </c>
      <c r="D190" s="60" t="s">
        <v>856</v>
      </c>
      <c r="E190" s="56">
        <v>7078370856</v>
      </c>
      <c r="F190" s="67">
        <f t="shared" si="2"/>
        <v>7078370856</v>
      </c>
    </row>
    <row r="191" spans="1:6">
      <c r="A191" s="54" t="str">
        <f>_xlfn.XLOOKUP(D191,sheet2!K:K,sheet2!B:B,1,0)</f>
        <v>West</v>
      </c>
      <c r="B191" s="56" t="s">
        <v>1016</v>
      </c>
      <c r="C191" s="56" t="s">
        <v>160</v>
      </c>
      <c r="D191" s="56" t="s">
        <v>656</v>
      </c>
      <c r="E191" s="56">
        <v>9898244977</v>
      </c>
      <c r="F191" s="67">
        <f t="shared" si="2"/>
        <v>9898244977</v>
      </c>
    </row>
    <row r="192" spans="1:6">
      <c r="A192" s="54" t="str">
        <f>_xlfn.XLOOKUP(D192,sheet2!K:K,sheet2!B:B,1,0)</f>
        <v>South</v>
      </c>
      <c r="B192" s="56" t="s">
        <v>1016</v>
      </c>
      <c r="C192" s="56" t="s">
        <v>861</v>
      </c>
      <c r="D192" s="56" t="s">
        <v>862</v>
      </c>
      <c r="E192" s="56">
        <v>8121722331</v>
      </c>
      <c r="F192" s="67">
        <f t="shared" si="2"/>
        <v>8121722331</v>
      </c>
    </row>
    <row r="193" spans="1:6">
      <c r="A193" s="54" t="str">
        <f>_xlfn.XLOOKUP(D193,sheet2!K:K,sheet2!B:B,1,0)</f>
        <v>South</v>
      </c>
      <c r="B193" s="56" t="s">
        <v>1016</v>
      </c>
      <c r="C193" s="56" t="s">
        <v>866</v>
      </c>
      <c r="D193" s="56" t="s">
        <v>867</v>
      </c>
      <c r="E193" s="56">
        <v>6381376935</v>
      </c>
      <c r="F193" s="67">
        <f t="shared" si="2"/>
        <v>6381376935</v>
      </c>
    </row>
    <row r="194" spans="1:6">
      <c r="A194" s="54" t="str">
        <f>_xlfn.XLOOKUP(D194,sheet2!K:K,sheet2!B:B,1,0)</f>
        <v>North</v>
      </c>
      <c r="B194" s="56" t="s">
        <v>1016</v>
      </c>
      <c r="C194" s="56" t="s">
        <v>870</v>
      </c>
      <c r="D194" s="56" t="s">
        <v>871</v>
      </c>
      <c r="E194" s="56">
        <v>9649306441</v>
      </c>
      <c r="F194" s="67">
        <f t="shared" ref="F194:F256" si="3">E194</f>
        <v>9649306441</v>
      </c>
    </row>
    <row r="195" spans="1:6">
      <c r="A195" s="54" t="str">
        <f>_xlfn.XLOOKUP(D195,sheet2!K:K,sheet2!B:B,1,0)</f>
        <v>South</v>
      </c>
      <c r="B195" s="56" t="s">
        <v>1016</v>
      </c>
      <c r="C195" s="56" t="s">
        <v>874</v>
      </c>
      <c r="D195" s="56" t="s">
        <v>875</v>
      </c>
      <c r="E195" s="56">
        <v>9995305036</v>
      </c>
      <c r="F195" s="67">
        <f t="shared" si="3"/>
        <v>9995305036</v>
      </c>
    </row>
    <row r="196" spans="1:6">
      <c r="A196" s="54" t="str">
        <f>_xlfn.XLOOKUP(D196,sheet2!K:K,sheet2!B:B,1,0)</f>
        <v>West</v>
      </c>
      <c r="B196" s="56" t="s">
        <v>1016</v>
      </c>
      <c r="C196" s="56" t="s">
        <v>458</v>
      </c>
      <c r="D196" s="56" t="s">
        <v>459</v>
      </c>
      <c r="E196" s="56">
        <v>7900856570</v>
      </c>
      <c r="F196" s="67">
        <f t="shared" si="3"/>
        <v>7900856570</v>
      </c>
    </row>
    <row r="197" spans="1:6">
      <c r="A197" s="54" t="str">
        <f>_xlfn.XLOOKUP(D197,sheet2!K:K,sheet2!B:B,1,0)</f>
        <v>North</v>
      </c>
      <c r="B197" s="56" t="s">
        <v>1016</v>
      </c>
      <c r="C197" s="56" t="s">
        <v>880</v>
      </c>
      <c r="D197" s="56" t="s">
        <v>881</v>
      </c>
      <c r="E197" s="56">
        <v>9461045650</v>
      </c>
      <c r="F197" s="67">
        <f t="shared" si="3"/>
        <v>9461045650</v>
      </c>
    </row>
    <row r="198" spans="1:6">
      <c r="A198" s="54" t="str">
        <f>_xlfn.XLOOKUP(D198,sheet2!K:K,sheet2!B:B,1,0)</f>
        <v>South</v>
      </c>
      <c r="B198" s="56" t="s">
        <v>1016</v>
      </c>
      <c r="C198" s="56" t="s">
        <v>884</v>
      </c>
      <c r="D198" s="56" t="s">
        <v>885</v>
      </c>
      <c r="E198" s="56">
        <v>7867882166</v>
      </c>
      <c r="F198" s="67">
        <f t="shared" si="3"/>
        <v>7867882166</v>
      </c>
    </row>
    <row r="199" spans="1:6">
      <c r="A199" s="54" t="str">
        <f>_xlfn.XLOOKUP(D199,sheet2!K:K,sheet2!B:B,1,0)</f>
        <v>South</v>
      </c>
      <c r="B199" s="56" t="s">
        <v>1016</v>
      </c>
      <c r="C199" s="56" t="s">
        <v>891</v>
      </c>
      <c r="D199" s="56" t="s">
        <v>892</v>
      </c>
      <c r="E199" s="56">
        <v>7867882166</v>
      </c>
      <c r="F199" s="67">
        <f t="shared" si="3"/>
        <v>7867882166</v>
      </c>
    </row>
    <row r="200" spans="1:6">
      <c r="A200" s="54" t="str">
        <f>_xlfn.XLOOKUP(D200,sheet2!K:K,sheet2!B:B,1,0)</f>
        <v>North</v>
      </c>
      <c r="B200" s="56" t="s">
        <v>1016</v>
      </c>
      <c r="C200" s="56" t="s">
        <v>897</v>
      </c>
      <c r="D200" s="56" t="s">
        <v>898</v>
      </c>
      <c r="E200" s="56">
        <v>6284219612</v>
      </c>
      <c r="F200" s="67">
        <f t="shared" si="3"/>
        <v>6284219612</v>
      </c>
    </row>
    <row r="201" spans="1:6">
      <c r="A201" s="54" t="str">
        <f>_xlfn.XLOOKUP(D201,sheet2!K:K,sheet2!B:B,1,0)</f>
        <v>West</v>
      </c>
      <c r="B201" s="56" t="s">
        <v>1016</v>
      </c>
      <c r="C201" s="56" t="s">
        <v>904</v>
      </c>
      <c r="D201" s="56" t="s">
        <v>905</v>
      </c>
      <c r="E201" s="56">
        <v>9653282698</v>
      </c>
      <c r="F201" s="67">
        <f t="shared" si="3"/>
        <v>9653282698</v>
      </c>
    </row>
    <row r="202" spans="1:6">
      <c r="A202" s="54" t="str">
        <f>_xlfn.XLOOKUP(D202,sheet2!K:K,sheet2!B:B,1,0)</f>
        <v>North</v>
      </c>
      <c r="B202" s="56" t="s">
        <v>1016</v>
      </c>
      <c r="C202" s="56" t="s">
        <v>909</v>
      </c>
      <c r="D202" s="56" t="s">
        <v>910</v>
      </c>
      <c r="E202" s="56">
        <v>9649470393</v>
      </c>
      <c r="F202" s="67">
        <f t="shared" si="3"/>
        <v>9649470393</v>
      </c>
    </row>
    <row r="203" spans="1:6">
      <c r="A203" s="54" t="str">
        <f>_xlfn.XLOOKUP(D203,sheet2!K:K,sheet2!B:B,1,0)</f>
        <v>North</v>
      </c>
      <c r="B203" s="56" t="s">
        <v>1016</v>
      </c>
      <c r="C203" s="56" t="s">
        <v>914</v>
      </c>
      <c r="D203" s="65" t="s">
        <v>915</v>
      </c>
      <c r="E203" s="56">
        <v>8745843744</v>
      </c>
      <c r="F203" s="67">
        <f t="shared" si="3"/>
        <v>8745843744</v>
      </c>
    </row>
    <row r="204" spans="1:6">
      <c r="A204" s="54" t="str">
        <f>_xlfn.XLOOKUP(D204,sheet2!K:K,sheet2!B:B,1,0)</f>
        <v>North</v>
      </c>
      <c r="B204" s="56" t="s">
        <v>1016</v>
      </c>
      <c r="C204" s="56" t="s">
        <v>923</v>
      </c>
      <c r="D204" s="56" t="s">
        <v>924</v>
      </c>
      <c r="E204" s="56">
        <v>8448028290</v>
      </c>
      <c r="F204" s="67">
        <f t="shared" si="3"/>
        <v>8448028290</v>
      </c>
    </row>
    <row r="205" spans="1:6">
      <c r="A205" s="54" t="str">
        <f>_xlfn.XLOOKUP(D205,sheet2!K:K,sheet2!B:B,1,0)</f>
        <v>West</v>
      </c>
      <c r="B205" s="56" t="s">
        <v>1016</v>
      </c>
      <c r="C205" s="56" t="s">
        <v>926</v>
      </c>
      <c r="D205" s="56" t="s">
        <v>927</v>
      </c>
      <c r="E205" s="56">
        <v>8866206371</v>
      </c>
      <c r="F205" s="67">
        <f t="shared" si="3"/>
        <v>8866206371</v>
      </c>
    </row>
    <row r="206" spans="1:6">
      <c r="A206" s="54" t="str">
        <f>_xlfn.XLOOKUP(D206,sheet2!K:K,sheet2!B:B,1,0)</f>
        <v>West</v>
      </c>
      <c r="B206" s="56" t="s">
        <v>1016</v>
      </c>
      <c r="C206" s="56" t="s">
        <v>933</v>
      </c>
      <c r="D206" s="56" t="s">
        <v>569</v>
      </c>
      <c r="E206" s="56">
        <v>9021190556</v>
      </c>
      <c r="F206" s="67">
        <f t="shared" si="3"/>
        <v>9021190556</v>
      </c>
    </row>
    <row r="207" spans="1:6">
      <c r="A207" s="54" t="str">
        <f>_xlfn.XLOOKUP(D207,sheet2!K:K,sheet2!B:B,1,0)</f>
        <v>West</v>
      </c>
      <c r="B207" s="56" t="s">
        <v>1016</v>
      </c>
      <c r="C207" s="56" t="s">
        <v>935</v>
      </c>
      <c r="D207" s="56" t="s">
        <v>936</v>
      </c>
      <c r="E207" s="56">
        <v>9923610103</v>
      </c>
      <c r="F207" s="67">
        <f t="shared" si="3"/>
        <v>9923610103</v>
      </c>
    </row>
    <row r="208" spans="1:6">
      <c r="A208" s="54" t="str">
        <f>_xlfn.XLOOKUP(D208,sheet2!K:K,sheet2!B:B,1,0)</f>
        <v>West</v>
      </c>
      <c r="B208" s="56" t="s">
        <v>1016</v>
      </c>
      <c r="C208" s="56" t="s">
        <v>802</v>
      </c>
      <c r="D208" s="56" t="s">
        <v>803</v>
      </c>
      <c r="E208" s="56">
        <v>9301528602</v>
      </c>
      <c r="F208" s="67">
        <f t="shared" si="3"/>
        <v>9301528602</v>
      </c>
    </row>
    <row r="209" spans="1:6">
      <c r="A209" s="54" t="str">
        <f>_xlfn.XLOOKUP(D209,sheet2!K:K,sheet2!B:B,1,0)</f>
        <v>West</v>
      </c>
      <c r="B209" s="56" t="s">
        <v>1016</v>
      </c>
      <c r="C209" s="56" t="s">
        <v>466</v>
      </c>
      <c r="D209" s="56" t="s">
        <v>467</v>
      </c>
      <c r="E209" s="56">
        <v>9898715522</v>
      </c>
      <c r="F209" s="67">
        <f t="shared" si="3"/>
        <v>9898715522</v>
      </c>
    </row>
    <row r="210" spans="1:6">
      <c r="A210" s="54" t="str">
        <f>_xlfn.XLOOKUP(D210,sheet2!N:N,sheet2!B:B,1,0)</f>
        <v>West</v>
      </c>
      <c r="B210" s="56" t="s">
        <v>1016</v>
      </c>
      <c r="C210" s="56" t="s">
        <v>27</v>
      </c>
      <c r="D210" s="56" t="s">
        <v>28</v>
      </c>
      <c r="E210" s="56">
        <v>8160776092</v>
      </c>
      <c r="F210" s="67">
        <f t="shared" si="3"/>
        <v>8160776092</v>
      </c>
    </row>
    <row r="211" spans="1:6">
      <c r="A211" s="54" t="str">
        <f>_xlfn.XLOOKUP(D211,sheet2!N:N,sheet2!B:B,1,0)</f>
        <v>South</v>
      </c>
      <c r="B211" s="56" t="s">
        <v>1016</v>
      </c>
      <c r="C211" s="56" t="s">
        <v>39</v>
      </c>
      <c r="D211" s="56" t="s">
        <v>40</v>
      </c>
      <c r="E211" s="56">
        <v>9663575036</v>
      </c>
      <c r="F211" s="67">
        <f t="shared" si="3"/>
        <v>9663575036</v>
      </c>
    </row>
    <row r="212" spans="1:6">
      <c r="A212" s="54" t="str">
        <f>_xlfn.XLOOKUP(D212,sheet2!N:N,sheet2!B:B,1,0)</f>
        <v>South</v>
      </c>
      <c r="B212" s="56" t="s">
        <v>1016</v>
      </c>
      <c r="C212" s="56" t="s">
        <v>46</v>
      </c>
      <c r="D212" s="56" t="s">
        <v>47</v>
      </c>
      <c r="E212" s="56">
        <v>9164532362</v>
      </c>
      <c r="F212" s="67">
        <f t="shared" si="3"/>
        <v>9164532362</v>
      </c>
    </row>
    <row r="213" spans="1:6">
      <c r="A213" s="54" t="str">
        <f>_xlfn.XLOOKUP(D213,sheet2!N:N,sheet2!B:B,1,0)</f>
        <v>West</v>
      </c>
      <c r="B213" s="56" t="s">
        <v>1016</v>
      </c>
      <c r="C213" s="56" t="s">
        <v>55</v>
      </c>
      <c r="D213" s="56" t="s">
        <v>56</v>
      </c>
      <c r="E213" s="56">
        <v>7738879336</v>
      </c>
      <c r="F213" s="67">
        <f t="shared" si="3"/>
        <v>7738879336</v>
      </c>
    </row>
    <row r="214" spans="1:6">
      <c r="A214" s="54" t="str">
        <f>_xlfn.XLOOKUP(D214,sheet2!N:N,sheet2!B:B,1,0)</f>
        <v>West</v>
      </c>
      <c r="B214" s="56" t="s">
        <v>1016</v>
      </c>
      <c r="C214" s="56" t="s">
        <v>64</v>
      </c>
      <c r="D214" s="56" t="s">
        <v>65</v>
      </c>
      <c r="E214" s="56">
        <v>9922621942</v>
      </c>
      <c r="F214" s="67">
        <f t="shared" si="3"/>
        <v>9922621942</v>
      </c>
    </row>
    <row r="215" spans="1:6" ht="24">
      <c r="A215" s="54" t="str">
        <f>_xlfn.XLOOKUP(D215,sheet2!N:N,sheet2!B:B,1,0)</f>
        <v>West</v>
      </c>
      <c r="B215" s="56" t="s">
        <v>1016</v>
      </c>
      <c r="C215" s="56" t="s">
        <v>72</v>
      </c>
      <c r="D215" s="56" t="s">
        <v>73</v>
      </c>
      <c r="E215" s="56">
        <v>8483900198</v>
      </c>
      <c r="F215" s="67">
        <f t="shared" si="3"/>
        <v>8483900198</v>
      </c>
    </row>
    <row r="216" spans="1:6">
      <c r="A216" s="54" t="str">
        <f>_xlfn.XLOOKUP(D216,sheet2!N:N,sheet2!B:B,1,0)</f>
        <v>East</v>
      </c>
      <c r="B216" s="56" t="s">
        <v>1016</v>
      </c>
      <c r="C216" s="56" t="s">
        <v>84</v>
      </c>
      <c r="D216" s="56" t="s">
        <v>85</v>
      </c>
      <c r="E216" s="56">
        <v>9040877464</v>
      </c>
      <c r="F216" s="67">
        <f t="shared" si="3"/>
        <v>9040877464</v>
      </c>
    </row>
    <row r="217" spans="1:6">
      <c r="A217" s="54" t="str">
        <f>_xlfn.XLOOKUP(D217,sheet2!N:N,sheet2!B:B,1,0)</f>
        <v>East</v>
      </c>
      <c r="B217" s="56" t="s">
        <v>1016</v>
      </c>
      <c r="C217" s="56" t="s">
        <v>89</v>
      </c>
      <c r="D217" s="56" t="s">
        <v>90</v>
      </c>
      <c r="E217" s="56">
        <v>9439315064</v>
      </c>
      <c r="F217" s="67">
        <f t="shared" si="3"/>
        <v>9439315064</v>
      </c>
    </row>
    <row r="218" spans="1:6">
      <c r="A218" s="54" t="str">
        <f>_xlfn.XLOOKUP(D218,sheet2!N:N,sheet2!B:B,1,0)</f>
        <v>North</v>
      </c>
      <c r="B218" s="56" t="s">
        <v>1016</v>
      </c>
      <c r="C218" s="56" t="s">
        <v>116</v>
      </c>
      <c r="D218" s="56" t="s">
        <v>117</v>
      </c>
      <c r="E218" s="56">
        <v>9990061118</v>
      </c>
      <c r="F218" s="67">
        <f t="shared" si="3"/>
        <v>9990061118</v>
      </c>
    </row>
    <row r="219" spans="1:6">
      <c r="A219" s="54" t="str">
        <f>_xlfn.XLOOKUP(D219,sheet2!N:N,sheet2!B:B,1,0)</f>
        <v>North</v>
      </c>
      <c r="B219" s="56" t="s">
        <v>1016</v>
      </c>
      <c r="C219" s="56" t="s">
        <v>123</v>
      </c>
      <c r="D219" s="56" t="s">
        <v>124</v>
      </c>
      <c r="E219" s="56">
        <v>8800304177</v>
      </c>
      <c r="F219" s="67">
        <f t="shared" si="3"/>
        <v>8800304177</v>
      </c>
    </row>
    <row r="220" spans="1:6">
      <c r="A220" s="54" t="str">
        <f>_xlfn.XLOOKUP(D220,sheet2!N:N,sheet2!B:B,1,0)</f>
        <v>South</v>
      </c>
      <c r="B220" s="56" t="s">
        <v>1016</v>
      </c>
      <c r="C220" s="56" t="s">
        <v>1019</v>
      </c>
      <c r="D220" s="56" t="s">
        <v>130</v>
      </c>
      <c r="E220" s="56">
        <v>9513666556</v>
      </c>
      <c r="F220" s="67">
        <f t="shared" si="3"/>
        <v>9513666556</v>
      </c>
    </row>
    <row r="221" spans="1:6">
      <c r="A221" s="54" t="str">
        <f>_xlfn.XLOOKUP(D221,sheet2!N:N,sheet2!B:B,1,0)</f>
        <v>North</v>
      </c>
      <c r="B221" s="56" t="s">
        <v>1016</v>
      </c>
      <c r="C221" s="56" t="s">
        <v>144</v>
      </c>
      <c r="D221" s="60" t="s">
        <v>145</v>
      </c>
      <c r="E221" s="56">
        <v>7056497596</v>
      </c>
      <c r="F221" s="67">
        <f t="shared" si="3"/>
        <v>7056497596</v>
      </c>
    </row>
    <row r="222" spans="1:6">
      <c r="A222" s="54" t="str">
        <f>_xlfn.XLOOKUP(D222,sheet2!N:N,sheet2!B:B,1,0)</f>
        <v>North</v>
      </c>
      <c r="B222" s="56" t="s">
        <v>1016</v>
      </c>
      <c r="C222" s="56" t="s">
        <v>152</v>
      </c>
      <c r="D222" s="56" t="s">
        <v>153</v>
      </c>
      <c r="E222" s="56">
        <v>9811699234</v>
      </c>
      <c r="F222" s="67">
        <f t="shared" si="3"/>
        <v>9811699234</v>
      </c>
    </row>
    <row r="223" spans="1:6">
      <c r="A223" s="54" t="str">
        <f>_xlfn.XLOOKUP(D223,sheet2!N:N,sheet2!B:B,1,0)</f>
        <v>East</v>
      </c>
      <c r="B223" s="56" t="s">
        <v>1016</v>
      </c>
      <c r="C223" s="56" t="s">
        <v>166</v>
      </c>
      <c r="D223" s="56" t="s">
        <v>167</v>
      </c>
      <c r="E223" s="56">
        <v>7903508833</v>
      </c>
      <c r="F223" s="67">
        <f t="shared" si="3"/>
        <v>7903508833</v>
      </c>
    </row>
    <row r="224" spans="1:6">
      <c r="A224" s="54" t="str">
        <f>_xlfn.XLOOKUP(D224,sheet2!N:N,sheet2!B:B,1,0)</f>
        <v>East</v>
      </c>
      <c r="B224" s="56" t="s">
        <v>1016</v>
      </c>
      <c r="C224" s="56" t="s">
        <v>173</v>
      </c>
      <c r="D224" s="56" t="s">
        <v>174</v>
      </c>
      <c r="E224" s="56">
        <v>8638190824</v>
      </c>
      <c r="F224" s="67">
        <f t="shared" si="3"/>
        <v>8638190824</v>
      </c>
    </row>
    <row r="225" spans="1:6">
      <c r="A225" s="54" t="str">
        <f>_xlfn.XLOOKUP(D225,sheet2!N:N,sheet2!B:B,1,0)</f>
        <v>East</v>
      </c>
      <c r="B225" s="56" t="s">
        <v>1016</v>
      </c>
      <c r="C225" s="56" t="s">
        <v>1020</v>
      </c>
      <c r="D225" s="56" t="s">
        <v>180</v>
      </c>
      <c r="E225" s="56">
        <v>8811811385</v>
      </c>
      <c r="F225" s="67">
        <f t="shared" si="3"/>
        <v>8811811385</v>
      </c>
    </row>
    <row r="226" spans="1:6">
      <c r="A226" s="54" t="str">
        <f>_xlfn.XLOOKUP(D226,sheet2!N:N,sheet2!B:B,1,0)</f>
        <v>North</v>
      </c>
      <c r="B226" s="56" t="s">
        <v>1016</v>
      </c>
      <c r="C226" s="56" t="s">
        <v>183</v>
      </c>
      <c r="D226" s="60" t="s">
        <v>184</v>
      </c>
      <c r="E226" s="56">
        <v>8059776160</v>
      </c>
      <c r="F226" s="67">
        <f t="shared" si="3"/>
        <v>8059776160</v>
      </c>
    </row>
    <row r="227" spans="1:6">
      <c r="A227" s="54" t="str">
        <f>_xlfn.XLOOKUP(D227,sheet2!N:N,sheet2!B:B,1,0)</f>
        <v>East</v>
      </c>
      <c r="B227" s="56" t="s">
        <v>1016</v>
      </c>
      <c r="C227" s="56" t="s">
        <v>191</v>
      </c>
      <c r="D227" s="56" t="s">
        <v>192</v>
      </c>
      <c r="E227" s="56" t="s">
        <v>193</v>
      </c>
      <c r="F227" s="67" t="str">
        <f t="shared" si="3"/>
        <v>70032 86129</v>
      </c>
    </row>
    <row r="228" spans="1:6">
      <c r="A228" s="54" t="str">
        <f>_xlfn.XLOOKUP(D228,sheet2!N:N,sheet2!B:B,1,0)</f>
        <v>South</v>
      </c>
      <c r="B228" s="56" t="s">
        <v>1016</v>
      </c>
      <c r="C228" s="56" t="s">
        <v>199</v>
      </c>
      <c r="D228" s="56" t="s">
        <v>200</v>
      </c>
      <c r="E228" s="56">
        <v>9966153878</v>
      </c>
      <c r="F228" s="67">
        <f t="shared" si="3"/>
        <v>9966153878</v>
      </c>
    </row>
    <row r="229" spans="1:6">
      <c r="A229" s="54" t="str">
        <f>_xlfn.XLOOKUP(D229,sheet2!N:N,sheet2!B:B,1,0)</f>
        <v>West</v>
      </c>
      <c r="B229" s="56" t="s">
        <v>1016</v>
      </c>
      <c r="C229" s="56" t="s">
        <v>204</v>
      </c>
      <c r="D229" s="56" t="s">
        <v>205</v>
      </c>
      <c r="E229" s="56">
        <v>7999541157</v>
      </c>
      <c r="F229" s="67">
        <f t="shared" si="3"/>
        <v>7999541157</v>
      </c>
    </row>
    <row r="230" spans="1:6">
      <c r="A230" s="54" t="str">
        <f>_xlfn.XLOOKUP(D230,sheet2!N:N,sheet2!B:B,1,0)</f>
        <v>West</v>
      </c>
      <c r="B230" s="56" t="s">
        <v>1016</v>
      </c>
      <c r="C230" s="56" t="s">
        <v>213</v>
      </c>
      <c r="D230" s="56" t="s">
        <v>214</v>
      </c>
      <c r="E230" s="56">
        <v>9650365405</v>
      </c>
      <c r="F230" s="67">
        <f t="shared" si="3"/>
        <v>9650365405</v>
      </c>
    </row>
    <row r="231" spans="1:6">
      <c r="A231" s="54" t="str">
        <f>_xlfn.XLOOKUP(D231,sheet2!N:N,sheet2!B:B,1,0)</f>
        <v>West</v>
      </c>
      <c r="B231" s="56" t="s">
        <v>1016</v>
      </c>
      <c r="C231" s="56" t="s">
        <v>218</v>
      </c>
      <c r="D231" s="56" t="s">
        <v>219</v>
      </c>
      <c r="E231" s="56">
        <v>8107269797</v>
      </c>
      <c r="F231" s="67">
        <f t="shared" si="3"/>
        <v>8107269797</v>
      </c>
    </row>
    <row r="232" spans="1:6">
      <c r="A232" s="54" t="str">
        <f>_xlfn.XLOOKUP(D232,sheet2!N:N,sheet2!B:B,1,0)</f>
        <v>West</v>
      </c>
      <c r="B232" s="56" t="s">
        <v>1016</v>
      </c>
      <c r="C232" s="56" t="s">
        <v>225</v>
      </c>
      <c r="D232" s="56" t="s">
        <v>226</v>
      </c>
      <c r="E232" s="56">
        <v>9119295841</v>
      </c>
      <c r="F232" s="67">
        <f t="shared" si="3"/>
        <v>9119295841</v>
      </c>
    </row>
    <row r="233" spans="1:6">
      <c r="A233" s="54" t="str">
        <f>_xlfn.XLOOKUP(D233,sheet2!N:N,sheet2!B:B,1,0)</f>
        <v>West</v>
      </c>
      <c r="B233" s="56" t="s">
        <v>1016</v>
      </c>
      <c r="C233" s="57" t="s">
        <v>231</v>
      </c>
      <c r="D233" s="56" t="s">
        <v>232</v>
      </c>
      <c r="E233" s="57">
        <v>9318344671</v>
      </c>
      <c r="F233" s="67">
        <f t="shared" si="3"/>
        <v>9318344671</v>
      </c>
    </row>
    <row r="234" spans="1:6">
      <c r="A234" s="54" t="str">
        <f>_xlfn.XLOOKUP(D234,sheet2!N:N,sheet2!B:B,1,0)</f>
        <v>North</v>
      </c>
      <c r="B234" s="56" t="s">
        <v>1016</v>
      </c>
      <c r="C234" s="56" t="s">
        <v>240</v>
      </c>
      <c r="D234" s="56" t="s">
        <v>241</v>
      </c>
      <c r="E234" s="56">
        <v>9696055700</v>
      </c>
      <c r="F234" s="67">
        <f t="shared" si="3"/>
        <v>9696055700</v>
      </c>
    </row>
    <row r="235" spans="1:6">
      <c r="A235" s="54" t="str">
        <f>_xlfn.XLOOKUP(D235,sheet2!N:N,sheet2!B:B,1,0)</f>
        <v>East</v>
      </c>
      <c r="B235" s="56" t="s">
        <v>1016</v>
      </c>
      <c r="C235" s="56" t="s">
        <v>248</v>
      </c>
      <c r="D235" s="56" t="s">
        <v>249</v>
      </c>
      <c r="E235" s="56">
        <v>8334962355</v>
      </c>
      <c r="F235" s="67">
        <f t="shared" si="3"/>
        <v>8334962355</v>
      </c>
    </row>
    <row r="236" spans="1:6">
      <c r="A236" s="54" t="str">
        <f>_xlfn.XLOOKUP(D236,sheet2!N:N,sheet2!B:B,1,0)</f>
        <v>North</v>
      </c>
      <c r="B236" s="56" t="s">
        <v>1016</v>
      </c>
      <c r="C236" s="56" t="s">
        <v>256</v>
      </c>
      <c r="D236" s="56" t="s">
        <v>257</v>
      </c>
      <c r="E236" s="56">
        <v>8574176858</v>
      </c>
      <c r="F236" s="67">
        <f t="shared" si="3"/>
        <v>8574176858</v>
      </c>
    </row>
    <row r="237" spans="1:6">
      <c r="A237" s="54" t="str">
        <f>_xlfn.XLOOKUP(D237,sheet2!N:N,sheet2!B:B,1,0)</f>
        <v>North</v>
      </c>
      <c r="B237" s="56" t="s">
        <v>1016</v>
      </c>
      <c r="C237" s="56" t="s">
        <v>261</v>
      </c>
      <c r="D237" s="56" t="s">
        <v>262</v>
      </c>
      <c r="E237" s="56">
        <v>7311120913</v>
      </c>
      <c r="F237" s="67">
        <f t="shared" si="3"/>
        <v>7311120913</v>
      </c>
    </row>
    <row r="238" spans="1:6">
      <c r="A238" s="54" t="str">
        <f>_xlfn.XLOOKUP(D238,sheet2!N:N,sheet2!B:B,1,0)</f>
        <v>North</v>
      </c>
      <c r="B238" s="56" t="s">
        <v>1016</v>
      </c>
      <c r="C238" s="56" t="s">
        <v>272</v>
      </c>
      <c r="D238" s="56" t="s">
        <v>273</v>
      </c>
      <c r="E238" s="56">
        <v>9872875565</v>
      </c>
      <c r="F238" s="67">
        <f t="shared" si="3"/>
        <v>9872875565</v>
      </c>
    </row>
    <row r="239" spans="1:6">
      <c r="A239" s="54" t="str">
        <f>_xlfn.XLOOKUP(D239,sheet2!N:N,sheet2!B:B,1,0)</f>
        <v>North</v>
      </c>
      <c r="B239" s="56" t="s">
        <v>1016</v>
      </c>
      <c r="C239" s="56" t="s">
        <v>279</v>
      </c>
      <c r="D239" s="56" t="s">
        <v>280</v>
      </c>
      <c r="E239" s="56">
        <v>9888665095</v>
      </c>
      <c r="F239" s="67">
        <f t="shared" si="3"/>
        <v>9888665095</v>
      </c>
    </row>
    <row r="240" spans="1:6">
      <c r="A240" s="54" t="str">
        <f>_xlfn.XLOOKUP(D240,sheet2!N:N,sheet2!B:B,1,0)</f>
        <v>West</v>
      </c>
      <c r="B240" s="56" t="s">
        <v>1016</v>
      </c>
      <c r="C240" s="56" t="s">
        <v>288</v>
      </c>
      <c r="D240" s="56" t="s">
        <v>289</v>
      </c>
      <c r="E240" s="56">
        <v>8329814688</v>
      </c>
      <c r="F240" s="67">
        <f t="shared" si="3"/>
        <v>8329814688</v>
      </c>
    </row>
    <row r="241" spans="1:6">
      <c r="A241" s="54" t="str">
        <f>_xlfn.XLOOKUP(D241,sheet2!N:N,sheet2!B:B,1,0)</f>
        <v>East</v>
      </c>
      <c r="B241" s="56" t="s">
        <v>1016</v>
      </c>
      <c r="C241" s="56" t="s">
        <v>297</v>
      </c>
      <c r="D241" s="66" t="s">
        <v>298</v>
      </c>
      <c r="E241" s="56">
        <v>9798676855</v>
      </c>
      <c r="F241" s="67">
        <f t="shared" si="3"/>
        <v>9798676855</v>
      </c>
    </row>
    <row r="242" spans="1:6">
      <c r="A242" s="54" t="str">
        <f>_xlfn.XLOOKUP(D242,sheet2!N:N,sheet2!B:B,1,0)</f>
        <v>West</v>
      </c>
      <c r="B242" s="56" t="s">
        <v>1016</v>
      </c>
      <c r="C242" s="56" t="s">
        <v>306</v>
      </c>
      <c r="D242" s="56" t="s">
        <v>307</v>
      </c>
      <c r="E242" s="56">
        <v>7875979020</v>
      </c>
      <c r="F242" s="67">
        <f t="shared" si="3"/>
        <v>7875979020</v>
      </c>
    </row>
    <row r="243" spans="1:6">
      <c r="A243" s="54" t="str">
        <f>_xlfn.XLOOKUP(D243,sheet2!N:N,sheet2!B:B,1,0)</f>
        <v>West</v>
      </c>
      <c r="B243" s="56" t="s">
        <v>1016</v>
      </c>
      <c r="C243" s="56" t="s">
        <v>313</v>
      </c>
      <c r="D243" s="56" t="s">
        <v>314</v>
      </c>
      <c r="E243" s="56">
        <v>8626930962</v>
      </c>
      <c r="F243" s="67">
        <f t="shared" si="3"/>
        <v>8626930962</v>
      </c>
    </row>
    <row r="244" spans="1:6">
      <c r="A244" s="54" t="str">
        <f>_xlfn.XLOOKUP(D244,sheet2!N:N,sheet2!B:B,1,0)</f>
        <v>East</v>
      </c>
      <c r="B244" s="56" t="s">
        <v>1016</v>
      </c>
      <c r="C244" s="56" t="s">
        <v>318</v>
      </c>
      <c r="D244" s="56" t="s">
        <v>319</v>
      </c>
      <c r="E244" s="56" t="s">
        <v>320</v>
      </c>
      <c r="F244" s="67" t="str">
        <f t="shared" si="3"/>
        <v>91223 14435</v>
      </c>
    </row>
    <row r="245" spans="1:6">
      <c r="A245" s="54" t="str">
        <f>_xlfn.XLOOKUP(D245,sheet2!N:N,sheet2!B:B,1,0)</f>
        <v>East</v>
      </c>
      <c r="B245" s="56" t="s">
        <v>1016</v>
      </c>
      <c r="C245" s="56" t="s">
        <v>324</v>
      </c>
      <c r="D245" s="56" t="s">
        <v>325</v>
      </c>
      <c r="E245" s="56">
        <v>7035845116</v>
      </c>
      <c r="F245" s="67">
        <f t="shared" si="3"/>
        <v>7035845116</v>
      </c>
    </row>
    <row r="246" spans="1:6">
      <c r="A246" s="54" t="str">
        <f>_xlfn.XLOOKUP(D246,sheet2!N:N,sheet2!B:B,1,0)</f>
        <v>East</v>
      </c>
      <c r="B246" s="56" t="s">
        <v>1016</v>
      </c>
      <c r="C246" s="56" t="s">
        <v>331</v>
      </c>
      <c r="D246" s="56" t="s">
        <v>332</v>
      </c>
      <c r="E246" s="56">
        <v>7002340731</v>
      </c>
      <c r="F246" s="67">
        <f t="shared" si="3"/>
        <v>7002340731</v>
      </c>
    </row>
    <row r="247" spans="1:6">
      <c r="A247" s="54" t="str">
        <f>_xlfn.XLOOKUP(D247,sheet2!N:N,sheet2!B:B,1,0)</f>
        <v>East</v>
      </c>
      <c r="B247" s="56" t="s">
        <v>1016</v>
      </c>
      <c r="C247" s="56" t="s">
        <v>338</v>
      </c>
      <c r="D247" s="56" t="s">
        <v>339</v>
      </c>
      <c r="E247" s="56">
        <v>8678885974</v>
      </c>
      <c r="F247" s="67">
        <f t="shared" si="3"/>
        <v>8678885974</v>
      </c>
    </row>
    <row r="248" spans="1:6">
      <c r="A248" s="54" t="str">
        <f>_xlfn.XLOOKUP(D248,sheet2!N:N,sheet2!B:B,1,0)</f>
        <v>North</v>
      </c>
      <c r="B248" s="56" t="s">
        <v>1016</v>
      </c>
      <c r="C248" s="56" t="s">
        <v>347</v>
      </c>
      <c r="D248" s="56" t="s">
        <v>348</v>
      </c>
      <c r="E248" s="56">
        <v>9315681948</v>
      </c>
      <c r="F248" s="67">
        <f t="shared" si="3"/>
        <v>9315681948</v>
      </c>
    </row>
    <row r="249" spans="1:6">
      <c r="A249" s="54" t="str">
        <f>_xlfn.XLOOKUP(D249,sheet2!N:N,sheet2!B:B,1,0)</f>
        <v>West</v>
      </c>
      <c r="B249" s="56" t="s">
        <v>1016</v>
      </c>
      <c r="C249" s="56" t="s">
        <v>361</v>
      </c>
      <c r="D249" s="56" t="s">
        <v>362</v>
      </c>
      <c r="E249" s="56">
        <v>6351502235</v>
      </c>
      <c r="F249" s="67">
        <f t="shared" si="3"/>
        <v>6351502235</v>
      </c>
    </row>
    <row r="250" spans="1:6">
      <c r="A250" s="54" t="str">
        <f>_xlfn.XLOOKUP(D250,sheet2!N:N,sheet2!B:B,1,0)</f>
        <v>West</v>
      </c>
      <c r="B250" s="56" t="s">
        <v>1016</v>
      </c>
      <c r="C250" s="56" t="s">
        <v>369</v>
      </c>
      <c r="D250" s="56" t="s">
        <v>370</v>
      </c>
      <c r="E250" s="56">
        <v>9725104037</v>
      </c>
      <c r="F250" s="67">
        <f t="shared" si="3"/>
        <v>9725104037</v>
      </c>
    </row>
    <row r="251" spans="1:6">
      <c r="A251" s="54" t="str">
        <f>_xlfn.XLOOKUP(D251,sheet2!N:N,sheet2!B:B,1,0)</f>
        <v>West</v>
      </c>
      <c r="B251" s="56" t="s">
        <v>1016</v>
      </c>
      <c r="C251" s="56" t="s">
        <v>375</v>
      </c>
      <c r="D251" s="56" t="s">
        <v>376</v>
      </c>
      <c r="E251" s="56">
        <v>9812502061</v>
      </c>
      <c r="F251" s="67">
        <f t="shared" si="3"/>
        <v>9812502061</v>
      </c>
    </row>
    <row r="252" spans="1:6">
      <c r="A252" s="54" t="str">
        <f>_xlfn.XLOOKUP(D252,sheet2!N:N,sheet2!B:B,1,0)</f>
        <v>West</v>
      </c>
      <c r="B252" s="56" t="s">
        <v>1016</v>
      </c>
      <c r="C252" s="56" t="s">
        <v>382</v>
      </c>
      <c r="D252" s="56" t="s">
        <v>383</v>
      </c>
      <c r="E252" s="56">
        <v>9909973188</v>
      </c>
      <c r="F252" s="67">
        <f t="shared" si="3"/>
        <v>9909973188</v>
      </c>
    </row>
    <row r="253" spans="1:6">
      <c r="A253" s="54" t="str">
        <f>_xlfn.XLOOKUP(D253,sheet2!N:N,sheet2!B:B,1,0)</f>
        <v>South</v>
      </c>
      <c r="B253" s="56" t="s">
        <v>1016</v>
      </c>
      <c r="C253" s="56" t="s">
        <v>389</v>
      </c>
      <c r="D253" s="56" t="s">
        <v>390</v>
      </c>
      <c r="E253" s="56">
        <v>8686720525</v>
      </c>
      <c r="F253" s="67">
        <f t="shared" si="3"/>
        <v>8686720525</v>
      </c>
    </row>
    <row r="254" spans="1:6">
      <c r="A254" s="54" t="str">
        <f>_xlfn.XLOOKUP(D254,sheet2!N:N,sheet2!B:B,1,0)</f>
        <v>South</v>
      </c>
      <c r="B254" s="56" t="s">
        <v>1016</v>
      </c>
      <c r="C254" s="56" t="s">
        <v>394</v>
      </c>
      <c r="D254" s="56" t="s">
        <v>395</v>
      </c>
      <c r="E254" s="56">
        <v>8099774097</v>
      </c>
      <c r="F254" s="67">
        <f t="shared" si="3"/>
        <v>8099774097</v>
      </c>
    </row>
    <row r="255" spans="1:6">
      <c r="A255" s="54" t="str">
        <f>_xlfn.XLOOKUP(D255,sheet2!N:N,sheet2!B:B,1,0)</f>
        <v>North</v>
      </c>
      <c r="B255" s="56" t="s">
        <v>1016</v>
      </c>
      <c r="C255" s="56" t="s">
        <v>402</v>
      </c>
      <c r="D255" s="58" t="s">
        <v>403</v>
      </c>
      <c r="E255" s="56">
        <v>9557233383</v>
      </c>
      <c r="F255" s="67">
        <f t="shared" si="3"/>
        <v>9557233383</v>
      </c>
    </row>
    <row r="256" spans="1:6">
      <c r="A256" s="54" t="str">
        <f>_xlfn.XLOOKUP(D256,sheet2!N:N,sheet2!B:B,1,0)</f>
        <v>North</v>
      </c>
      <c r="B256" s="56" t="s">
        <v>1016</v>
      </c>
      <c r="C256" s="56" t="s">
        <v>407</v>
      </c>
      <c r="D256" s="56" t="s">
        <v>408</v>
      </c>
      <c r="E256" s="56">
        <v>7704906394</v>
      </c>
      <c r="F256" s="67">
        <f t="shared" si="3"/>
        <v>7704906394</v>
      </c>
    </row>
    <row r="257" spans="1:6">
      <c r="A257" s="54" t="str">
        <f>_xlfn.XLOOKUP(D257,sheet2!N:N,sheet2!B:B,1,0)</f>
        <v>East</v>
      </c>
      <c r="B257" s="56" t="s">
        <v>1016</v>
      </c>
      <c r="C257" s="56" t="s">
        <v>413</v>
      </c>
      <c r="D257" s="56" t="s">
        <v>414</v>
      </c>
      <c r="E257" s="56">
        <v>8448028290</v>
      </c>
      <c r="F257" s="67">
        <f t="shared" ref="F257:F320" si="4">E257</f>
        <v>8448028290</v>
      </c>
    </row>
    <row r="258" spans="1:6">
      <c r="A258" s="54" t="str">
        <f>_xlfn.XLOOKUP(D258,sheet2!N:N,sheet2!B:B,1,0)</f>
        <v>North</v>
      </c>
      <c r="B258" s="56" t="s">
        <v>1016</v>
      </c>
      <c r="C258" s="56" t="s">
        <v>420</v>
      </c>
      <c r="D258" s="56" t="s">
        <v>421</v>
      </c>
      <c r="E258" s="56">
        <v>917880672710</v>
      </c>
      <c r="F258" s="67">
        <f t="shared" si="4"/>
        <v>917880672710</v>
      </c>
    </row>
    <row r="259" spans="1:6">
      <c r="A259" s="54" t="str">
        <f>_xlfn.XLOOKUP(D259,sheet2!N:N,sheet2!B:B,1,0)</f>
        <v>West</v>
      </c>
      <c r="B259" s="56" t="s">
        <v>1016</v>
      </c>
      <c r="C259" s="56" t="s">
        <v>426</v>
      </c>
      <c r="D259" s="56" t="s">
        <v>427</v>
      </c>
      <c r="E259" s="56">
        <v>9926906678</v>
      </c>
      <c r="F259" s="67">
        <f t="shared" si="4"/>
        <v>9926906678</v>
      </c>
    </row>
    <row r="260" spans="1:6">
      <c r="A260" s="54" t="str">
        <f>_xlfn.XLOOKUP(D260,sheet2!N:N,sheet2!B:B,1,0)</f>
        <v>East</v>
      </c>
      <c r="B260" s="56" t="s">
        <v>1016</v>
      </c>
      <c r="C260" s="56" t="s">
        <v>433</v>
      </c>
      <c r="D260" s="56" t="s">
        <v>434</v>
      </c>
      <c r="E260" s="56">
        <v>9681185032</v>
      </c>
      <c r="F260" s="67">
        <f t="shared" si="4"/>
        <v>9681185032</v>
      </c>
    </row>
    <row r="261" spans="1:6">
      <c r="A261" s="54" t="str">
        <f>_xlfn.XLOOKUP(D261,sheet2!N:N,sheet2!B:B,1,0)</f>
        <v>West</v>
      </c>
      <c r="B261" s="56" t="s">
        <v>1016</v>
      </c>
      <c r="C261" s="56" t="s">
        <v>438</v>
      </c>
      <c r="D261" s="56" t="s">
        <v>439</v>
      </c>
      <c r="E261" s="56">
        <v>9284643233</v>
      </c>
      <c r="F261" s="67">
        <f t="shared" si="4"/>
        <v>9284643233</v>
      </c>
    </row>
    <row r="262" spans="1:6">
      <c r="A262" s="54" t="str">
        <f>_xlfn.XLOOKUP(D262,sheet2!N:N,sheet2!B:B,1,0)</f>
        <v>West</v>
      </c>
      <c r="B262" s="56" t="s">
        <v>1016</v>
      </c>
      <c r="C262" s="56" t="s">
        <v>443</v>
      </c>
      <c r="D262" s="56" t="s">
        <v>444</v>
      </c>
      <c r="E262" s="56">
        <v>9009149143</v>
      </c>
      <c r="F262" s="67">
        <f t="shared" si="4"/>
        <v>9009149143</v>
      </c>
    </row>
    <row r="263" spans="1:6">
      <c r="A263" s="54" t="str">
        <f>_xlfn.XLOOKUP(D263,sheet2!N:N,sheet2!B:B,1,0)</f>
        <v>East</v>
      </c>
      <c r="B263" s="56" t="s">
        <v>1016</v>
      </c>
      <c r="C263" s="56" t="s">
        <v>450</v>
      </c>
      <c r="D263" s="56" t="s">
        <v>451</v>
      </c>
      <c r="E263" s="56">
        <v>9635977809</v>
      </c>
      <c r="F263" s="67">
        <f t="shared" si="4"/>
        <v>9635977809</v>
      </c>
    </row>
    <row r="264" spans="1:6">
      <c r="A264" s="54" t="str">
        <f>_xlfn.XLOOKUP(D264,sheet2!N:N,sheet2!B:B,1,0)</f>
        <v>North</v>
      </c>
      <c r="B264" s="56" t="s">
        <v>1016</v>
      </c>
      <c r="C264" s="56" t="s">
        <v>474</v>
      </c>
      <c r="D264" s="56" t="s">
        <v>475</v>
      </c>
      <c r="E264" s="56">
        <v>8818005330</v>
      </c>
      <c r="F264" s="67">
        <f t="shared" si="4"/>
        <v>8818005330</v>
      </c>
    </row>
    <row r="265" spans="1:6">
      <c r="A265" s="54" t="str">
        <f>_xlfn.XLOOKUP(D265,sheet2!N:N,sheet2!B:B,1,0)</f>
        <v>East</v>
      </c>
      <c r="B265" s="56" t="s">
        <v>1016</v>
      </c>
      <c r="C265" s="56" t="s">
        <v>479</v>
      </c>
      <c r="D265" s="56" t="s">
        <v>480</v>
      </c>
      <c r="E265" s="56">
        <v>9334040734</v>
      </c>
      <c r="F265" s="67">
        <f t="shared" si="4"/>
        <v>9334040734</v>
      </c>
    </row>
    <row r="266" spans="1:6">
      <c r="A266" s="54" t="str">
        <f>_xlfn.XLOOKUP(D266,sheet2!N:N,sheet2!B:B,1,0)</f>
        <v>North</v>
      </c>
      <c r="B266" s="56" t="s">
        <v>1016</v>
      </c>
      <c r="C266" s="56" t="s">
        <v>484</v>
      </c>
      <c r="D266" s="56" t="s">
        <v>485</v>
      </c>
      <c r="E266" s="56">
        <v>8090384994</v>
      </c>
      <c r="F266" s="67">
        <f t="shared" si="4"/>
        <v>8090384994</v>
      </c>
    </row>
    <row r="267" spans="1:6">
      <c r="A267" s="54" t="str">
        <f>_xlfn.XLOOKUP(D267,sheet2!N:N,sheet2!B:B,1,0)</f>
        <v>South</v>
      </c>
      <c r="B267" s="56" t="s">
        <v>1016</v>
      </c>
      <c r="C267" s="56" t="s">
        <v>496</v>
      </c>
      <c r="D267" s="56" t="s">
        <v>497</v>
      </c>
      <c r="E267" s="56">
        <v>7025751238</v>
      </c>
      <c r="F267" s="67">
        <f t="shared" si="4"/>
        <v>7025751238</v>
      </c>
    </row>
    <row r="268" spans="1:6">
      <c r="A268" s="54" t="str">
        <f>_xlfn.XLOOKUP(D268,sheet2!N:N,sheet2!B:B,1,0)</f>
        <v>East</v>
      </c>
      <c r="B268" s="56" t="s">
        <v>1016</v>
      </c>
      <c r="C268" s="56" t="s">
        <v>507</v>
      </c>
      <c r="D268" s="56" t="s">
        <v>508</v>
      </c>
      <c r="E268" s="56">
        <v>8617772165</v>
      </c>
      <c r="F268" s="67">
        <f t="shared" si="4"/>
        <v>8617772165</v>
      </c>
    </row>
    <row r="269" spans="1:6">
      <c r="A269" s="54" t="str">
        <f>_xlfn.XLOOKUP(D269,sheet2!N:N,sheet2!B:B,1,0)</f>
        <v>North</v>
      </c>
      <c r="B269" s="56" t="s">
        <v>1016</v>
      </c>
      <c r="C269" s="56" t="s">
        <v>514</v>
      </c>
      <c r="D269" s="56" t="s">
        <v>515</v>
      </c>
      <c r="E269" s="56">
        <v>7880832095</v>
      </c>
      <c r="F269" s="67">
        <f t="shared" si="4"/>
        <v>7880832095</v>
      </c>
    </row>
    <row r="270" spans="1:6">
      <c r="A270" s="54" t="str">
        <f>_xlfn.XLOOKUP(D270,sheet2!N:N,sheet2!B:B,1,0)</f>
        <v>South</v>
      </c>
      <c r="B270" s="56" t="s">
        <v>1016</v>
      </c>
      <c r="C270" s="56" t="s">
        <v>529</v>
      </c>
      <c r="D270" s="56" t="s">
        <v>530</v>
      </c>
      <c r="E270" s="56">
        <v>7904028118</v>
      </c>
      <c r="F270" s="67">
        <f t="shared" si="4"/>
        <v>7904028118</v>
      </c>
    </row>
    <row r="271" spans="1:6">
      <c r="A271" s="54" t="str">
        <f>_xlfn.XLOOKUP(D271,sheet2!N:N,sheet2!B:B,1,0)</f>
        <v>West</v>
      </c>
      <c r="B271" s="56" t="s">
        <v>1016</v>
      </c>
      <c r="C271" s="56" t="s">
        <v>540</v>
      </c>
      <c r="D271" s="56" t="s">
        <v>541</v>
      </c>
      <c r="E271" s="56">
        <v>6376369461</v>
      </c>
      <c r="F271" s="67">
        <f t="shared" si="4"/>
        <v>6376369461</v>
      </c>
    </row>
    <row r="272" spans="1:6">
      <c r="A272" s="54" t="str">
        <f>_xlfn.XLOOKUP(D272,sheet2!N:N,sheet2!B:B,1,0)</f>
        <v>West</v>
      </c>
      <c r="B272" s="56" t="s">
        <v>1016</v>
      </c>
      <c r="C272" s="56" t="s">
        <v>546</v>
      </c>
      <c r="D272" s="56" t="s">
        <v>547</v>
      </c>
      <c r="E272" s="56">
        <v>9078951868</v>
      </c>
      <c r="F272" s="67">
        <f t="shared" si="4"/>
        <v>9078951868</v>
      </c>
    </row>
    <row r="273" spans="1:6">
      <c r="A273" s="54" t="str">
        <f>_xlfn.XLOOKUP(D273,sheet2!N:N,sheet2!B:B,1,0)</f>
        <v>North</v>
      </c>
      <c r="B273" s="56" t="s">
        <v>1016</v>
      </c>
      <c r="C273" s="56" t="s">
        <v>551</v>
      </c>
      <c r="D273" s="56" t="s">
        <v>552</v>
      </c>
      <c r="E273" s="56">
        <v>9953455434</v>
      </c>
      <c r="F273" s="67">
        <f t="shared" si="4"/>
        <v>9953455434</v>
      </c>
    </row>
    <row r="274" spans="1:6">
      <c r="A274" s="54" t="str">
        <f>_xlfn.XLOOKUP(D274,sheet2!N:N,sheet2!B:B,1,0)</f>
        <v>North</v>
      </c>
      <c r="B274" s="56" t="s">
        <v>1016</v>
      </c>
      <c r="C274" s="56" t="s">
        <v>185</v>
      </c>
      <c r="D274" s="56" t="s">
        <v>560</v>
      </c>
      <c r="E274" s="56">
        <v>9671292423</v>
      </c>
      <c r="F274" s="67">
        <f t="shared" si="4"/>
        <v>9671292423</v>
      </c>
    </row>
    <row r="275" spans="1:6">
      <c r="A275" s="54" t="str">
        <f>_xlfn.XLOOKUP(D275,sheet2!N:N,sheet2!B:B,1,0)</f>
        <v>West</v>
      </c>
      <c r="B275" s="56" t="s">
        <v>1016</v>
      </c>
      <c r="C275" s="56" t="s">
        <v>575</v>
      </c>
      <c r="D275" s="56" t="s">
        <v>576</v>
      </c>
      <c r="E275" s="56">
        <v>9021190556</v>
      </c>
      <c r="F275" s="67">
        <f t="shared" si="4"/>
        <v>9021190556</v>
      </c>
    </row>
    <row r="276" spans="1:6">
      <c r="A276" s="54" t="str">
        <f>_xlfn.XLOOKUP(D276,sheet2!N:N,sheet2!B:B,1,0)</f>
        <v>North</v>
      </c>
      <c r="B276" s="56" t="s">
        <v>1016</v>
      </c>
      <c r="C276" s="56" t="s">
        <v>580</v>
      </c>
      <c r="D276" s="56" t="s">
        <v>581</v>
      </c>
      <c r="E276" s="56">
        <v>9068120449</v>
      </c>
      <c r="F276" s="67">
        <f t="shared" si="4"/>
        <v>9068120449</v>
      </c>
    </row>
    <row r="277" spans="1:6">
      <c r="A277" s="54" t="str">
        <f>_xlfn.XLOOKUP(D277,sheet2!N:N,sheet2!B:B,1,0)</f>
        <v>North</v>
      </c>
      <c r="B277" s="56" t="s">
        <v>1016</v>
      </c>
      <c r="C277" s="56" t="s">
        <v>587</v>
      </c>
      <c r="D277" s="56" t="s">
        <v>588</v>
      </c>
      <c r="E277" s="56">
        <v>6200326458</v>
      </c>
      <c r="F277" s="67">
        <f t="shared" si="4"/>
        <v>6200326458</v>
      </c>
    </row>
    <row r="278" spans="1:6">
      <c r="A278" s="54" t="str">
        <f>_xlfn.XLOOKUP(D278,sheet2!N:N,sheet2!B:B,1,0)</f>
        <v>South</v>
      </c>
      <c r="B278" s="56" t="s">
        <v>1016</v>
      </c>
      <c r="C278" s="56" t="s">
        <v>594</v>
      </c>
      <c r="D278" s="56" t="s">
        <v>595</v>
      </c>
      <c r="E278" s="56">
        <v>9133204632</v>
      </c>
      <c r="F278" s="67">
        <f t="shared" si="4"/>
        <v>9133204632</v>
      </c>
    </row>
    <row r="279" spans="1:6">
      <c r="A279" s="54" t="str">
        <f>_xlfn.XLOOKUP(D279,sheet2!N:N,sheet2!B:B,1,0)</f>
        <v>North</v>
      </c>
      <c r="B279" s="56" t="s">
        <v>1016</v>
      </c>
      <c r="C279" s="56" t="s">
        <v>601</v>
      </c>
      <c r="D279" s="65" t="s">
        <v>602</v>
      </c>
      <c r="E279" s="56">
        <v>9953202277</v>
      </c>
      <c r="F279" s="67">
        <f t="shared" si="4"/>
        <v>9953202277</v>
      </c>
    </row>
    <row r="280" spans="1:6">
      <c r="A280" s="54" t="str">
        <f>_xlfn.XLOOKUP(D280,sheet2!N:N,sheet2!B:B,1,0)</f>
        <v>North</v>
      </c>
      <c r="B280" s="56" t="s">
        <v>1016</v>
      </c>
      <c r="C280" s="56" t="s">
        <v>605</v>
      </c>
      <c r="D280" s="65" t="s">
        <v>606</v>
      </c>
      <c r="E280" s="56">
        <v>9534779078</v>
      </c>
      <c r="F280" s="67">
        <f t="shared" si="4"/>
        <v>9534779078</v>
      </c>
    </row>
    <row r="281" spans="1:6">
      <c r="A281" s="54" t="str">
        <f>_xlfn.XLOOKUP(D281,sheet2!N:N,sheet2!B:B,1,0)</f>
        <v>South</v>
      </c>
      <c r="B281" s="56" t="s">
        <v>1016</v>
      </c>
      <c r="C281" s="56" t="s">
        <v>613</v>
      </c>
      <c r="D281" s="56" t="s">
        <v>614</v>
      </c>
      <c r="E281" s="56">
        <v>8105466398</v>
      </c>
      <c r="F281" s="67">
        <f t="shared" si="4"/>
        <v>8105466398</v>
      </c>
    </row>
    <row r="282" spans="1:6">
      <c r="A282" s="54" t="str">
        <f>_xlfn.XLOOKUP(D282,sheet2!N:N,sheet2!B:B,1,0)</f>
        <v>West</v>
      </c>
      <c r="B282" s="56" t="s">
        <v>1016</v>
      </c>
      <c r="C282" s="56" t="s">
        <v>623</v>
      </c>
      <c r="D282" s="56" t="s">
        <v>624</v>
      </c>
      <c r="E282" s="56">
        <v>6261477094</v>
      </c>
      <c r="F282" s="67">
        <f t="shared" si="4"/>
        <v>6261477094</v>
      </c>
    </row>
    <row r="283" spans="1:6">
      <c r="A283" s="54" t="str">
        <f>_xlfn.XLOOKUP(D283,sheet2!N:N,sheet2!B:B,1,0)</f>
        <v>South</v>
      </c>
      <c r="B283" s="56" t="s">
        <v>1016</v>
      </c>
      <c r="C283" s="56" t="s">
        <v>628</v>
      </c>
      <c r="D283" s="56" t="s">
        <v>629</v>
      </c>
      <c r="E283" s="56">
        <v>9063456784</v>
      </c>
      <c r="F283" s="67">
        <f t="shared" si="4"/>
        <v>9063456784</v>
      </c>
    </row>
    <row r="284" spans="1:6">
      <c r="A284" s="54" t="str">
        <f>_xlfn.XLOOKUP(D284,sheet2!N:N,sheet2!B:B,1,0)</f>
        <v>West</v>
      </c>
      <c r="B284" s="56" t="s">
        <v>1016</v>
      </c>
      <c r="C284" s="56" t="s">
        <v>635</v>
      </c>
      <c r="D284" s="56" t="s">
        <v>636</v>
      </c>
      <c r="E284" s="56">
        <v>8605234465</v>
      </c>
      <c r="F284" s="67">
        <f t="shared" si="4"/>
        <v>8605234465</v>
      </c>
    </row>
    <row r="285" spans="1:6">
      <c r="A285" s="54" t="str">
        <f>_xlfn.XLOOKUP(D285,sheet2!N:N,sheet2!B:B,1,0)</f>
        <v>North</v>
      </c>
      <c r="B285" s="56" t="s">
        <v>1016</v>
      </c>
      <c r="C285" s="56" t="s">
        <v>148</v>
      </c>
      <c r="D285" s="56" t="s">
        <v>640</v>
      </c>
      <c r="E285" s="56">
        <v>8081303457</v>
      </c>
      <c r="F285" s="67">
        <f t="shared" si="4"/>
        <v>8081303457</v>
      </c>
    </row>
    <row r="286" spans="1:6">
      <c r="A286" s="54" t="str">
        <f>_xlfn.XLOOKUP(D286,sheet2!N:N,sheet2!B:B,1,0)</f>
        <v>North</v>
      </c>
      <c r="B286" s="56" t="s">
        <v>1016</v>
      </c>
      <c r="C286" s="56" t="s">
        <v>644</v>
      </c>
      <c r="D286" s="56" t="s">
        <v>645</v>
      </c>
      <c r="E286" s="56">
        <v>6387178996</v>
      </c>
      <c r="F286" s="67">
        <f t="shared" si="4"/>
        <v>6387178996</v>
      </c>
    </row>
    <row r="287" spans="1:6">
      <c r="A287" s="54" t="str">
        <f>_xlfn.XLOOKUP(D287,sheet2!N:N,sheet2!B:B,1,0)</f>
        <v>North</v>
      </c>
      <c r="B287" s="56" t="s">
        <v>1016</v>
      </c>
      <c r="C287" s="56" t="s">
        <v>651</v>
      </c>
      <c r="D287" s="56" t="s">
        <v>652</v>
      </c>
      <c r="E287" s="56">
        <v>8896214274</v>
      </c>
      <c r="F287" s="67">
        <f t="shared" si="4"/>
        <v>8896214274</v>
      </c>
    </row>
    <row r="288" spans="1:6">
      <c r="A288" s="54" t="str">
        <f>_xlfn.XLOOKUP(D288,sheet2!N:N,sheet2!B:B,1,0)</f>
        <v>East</v>
      </c>
      <c r="B288" s="56" t="s">
        <v>1016</v>
      </c>
      <c r="C288" s="56" t="s">
        <v>662</v>
      </c>
      <c r="D288" s="56" t="s">
        <v>663</v>
      </c>
      <c r="E288" s="56">
        <v>7209522397</v>
      </c>
      <c r="F288" s="67">
        <f t="shared" si="4"/>
        <v>7209522397</v>
      </c>
    </row>
    <row r="289" spans="1:6">
      <c r="A289" s="54" t="str">
        <f>_xlfn.XLOOKUP(D289,sheet2!N:N,sheet2!B:B,1,0)</f>
        <v>East</v>
      </c>
      <c r="B289" s="56" t="s">
        <v>1016</v>
      </c>
      <c r="C289" s="56" t="s">
        <v>675</v>
      </c>
      <c r="D289" s="56" t="s">
        <v>676</v>
      </c>
      <c r="E289" s="62">
        <v>8210578186</v>
      </c>
      <c r="F289" s="67">
        <f t="shared" si="4"/>
        <v>8210578186</v>
      </c>
    </row>
    <row r="290" spans="1:6">
      <c r="A290" s="54" t="str">
        <f>_xlfn.XLOOKUP(D290,sheet2!N:N,sheet2!B:B,1,0)</f>
        <v>South</v>
      </c>
      <c r="B290" s="56" t="s">
        <v>1016</v>
      </c>
      <c r="C290" s="56" t="s">
        <v>690</v>
      </c>
      <c r="D290" s="56" t="s">
        <v>691</v>
      </c>
      <c r="E290" s="56">
        <v>7207708434</v>
      </c>
      <c r="F290" s="67">
        <f t="shared" si="4"/>
        <v>7207708434</v>
      </c>
    </row>
    <row r="291" spans="1:6">
      <c r="A291" s="54" t="str">
        <f>_xlfn.XLOOKUP(D291,sheet2!N:N,sheet2!B:B,1,0)</f>
        <v>East</v>
      </c>
      <c r="B291" s="56" t="s">
        <v>1016</v>
      </c>
      <c r="C291" s="56" t="s">
        <v>695</v>
      </c>
      <c r="D291" s="56" t="s">
        <v>696</v>
      </c>
      <c r="E291" s="56">
        <v>9122150297</v>
      </c>
      <c r="F291" s="67">
        <f t="shared" si="4"/>
        <v>9122150297</v>
      </c>
    </row>
    <row r="292" spans="1:6">
      <c r="A292" s="54" t="str">
        <f>_xlfn.XLOOKUP(D292,sheet2!N:N,sheet2!B:B,1,0)</f>
        <v>South</v>
      </c>
      <c r="B292" s="56" t="s">
        <v>1016</v>
      </c>
      <c r="C292" s="56" t="s">
        <v>705</v>
      </c>
      <c r="D292" s="56" t="s">
        <v>706</v>
      </c>
      <c r="E292" s="56">
        <v>7794037163</v>
      </c>
      <c r="F292" s="67">
        <f t="shared" si="4"/>
        <v>7794037163</v>
      </c>
    </row>
    <row r="293" spans="1:6">
      <c r="A293" s="54" t="str">
        <f>_xlfn.XLOOKUP(D293,sheet2!N:N,sheet2!B:B,1,0)</f>
        <v>East</v>
      </c>
      <c r="B293" s="56" t="s">
        <v>1016</v>
      </c>
      <c r="C293" s="56" t="s">
        <v>713</v>
      </c>
      <c r="D293" s="56" t="s">
        <v>714</v>
      </c>
      <c r="E293" s="56">
        <v>6204919495</v>
      </c>
      <c r="F293" s="67">
        <f t="shared" si="4"/>
        <v>6204919495</v>
      </c>
    </row>
    <row r="294" spans="1:6">
      <c r="A294" s="54" t="str">
        <f>_xlfn.XLOOKUP(D294,sheet2!N:N,sheet2!B:B,1,0)</f>
        <v>North</v>
      </c>
      <c r="B294" s="56" t="s">
        <v>1016</v>
      </c>
      <c r="C294" s="56" t="s">
        <v>718</v>
      </c>
      <c r="D294" s="56" t="s">
        <v>719</v>
      </c>
      <c r="E294" s="56">
        <v>9991285034</v>
      </c>
      <c r="F294" s="67">
        <f t="shared" si="4"/>
        <v>9991285034</v>
      </c>
    </row>
    <row r="295" spans="1:6">
      <c r="A295" s="54" t="str">
        <f>_xlfn.XLOOKUP(D295,sheet2!N:N,sheet2!B:B,1,0)</f>
        <v>West</v>
      </c>
      <c r="B295" s="56" t="s">
        <v>1016</v>
      </c>
      <c r="C295" s="56" t="s">
        <v>725</v>
      </c>
      <c r="D295" s="56" t="s">
        <v>726</v>
      </c>
      <c r="E295" s="56">
        <v>9424385431</v>
      </c>
      <c r="F295" s="67">
        <f t="shared" si="4"/>
        <v>9424385431</v>
      </c>
    </row>
    <row r="296" spans="1:6">
      <c r="A296" s="54" t="str">
        <f>_xlfn.XLOOKUP(D296,sheet2!N:N,sheet2!B:B,1,0)</f>
        <v>West</v>
      </c>
      <c r="B296" s="56" t="s">
        <v>1016</v>
      </c>
      <c r="C296" s="56" t="s">
        <v>730</v>
      </c>
      <c r="D296" s="56" t="s">
        <v>731</v>
      </c>
      <c r="E296" s="56">
        <v>8607481761</v>
      </c>
      <c r="F296" s="67">
        <f t="shared" si="4"/>
        <v>8607481761</v>
      </c>
    </row>
    <row r="297" spans="1:6">
      <c r="A297" s="54" t="str">
        <f>_xlfn.XLOOKUP(D297,sheet2!N:N,sheet2!B:B,1,0)</f>
        <v>North</v>
      </c>
      <c r="B297" s="56" t="s">
        <v>1016</v>
      </c>
      <c r="C297" s="56" t="s">
        <v>735</v>
      </c>
      <c r="D297" s="56" t="s">
        <v>736</v>
      </c>
      <c r="E297" s="56">
        <v>9415416798</v>
      </c>
      <c r="F297" s="67">
        <f t="shared" si="4"/>
        <v>9415416798</v>
      </c>
    </row>
    <row r="298" spans="1:6">
      <c r="A298" s="54" t="str">
        <f>_xlfn.XLOOKUP(D298,sheet2!N:N,sheet2!B:B,1,0)</f>
        <v>West</v>
      </c>
      <c r="B298" s="56" t="s">
        <v>1016</v>
      </c>
      <c r="C298" s="56" t="s">
        <v>740</v>
      </c>
      <c r="D298" s="56" t="s">
        <v>741</v>
      </c>
      <c r="E298" s="56">
        <v>9172031435</v>
      </c>
      <c r="F298" s="67">
        <f t="shared" si="4"/>
        <v>9172031435</v>
      </c>
    </row>
    <row r="299" spans="1:6">
      <c r="A299" s="54" t="str">
        <f>_xlfn.XLOOKUP(D299,sheet2!N:N,sheet2!B:B,1,0)</f>
        <v>North</v>
      </c>
      <c r="B299" s="56" t="s">
        <v>1016</v>
      </c>
      <c r="C299" s="56" t="s">
        <v>745</v>
      </c>
      <c r="D299" s="56" t="s">
        <v>746</v>
      </c>
      <c r="E299" s="56">
        <v>9953211378</v>
      </c>
      <c r="F299" s="67">
        <f t="shared" si="4"/>
        <v>9953211378</v>
      </c>
    </row>
    <row r="300" spans="1:6">
      <c r="A300" s="54" t="str">
        <f>_xlfn.XLOOKUP(D300,sheet2!N:N,sheet2!B:B,1,0)</f>
        <v>North</v>
      </c>
      <c r="B300" s="56" t="s">
        <v>1016</v>
      </c>
      <c r="C300" s="56" t="s">
        <v>750</v>
      </c>
      <c r="D300" s="56" t="s">
        <v>751</v>
      </c>
      <c r="E300" s="56">
        <v>8279390701</v>
      </c>
      <c r="F300" s="67">
        <f t="shared" si="4"/>
        <v>8279390701</v>
      </c>
    </row>
    <row r="301" spans="1:6">
      <c r="A301" s="54" t="str">
        <f>_xlfn.XLOOKUP(D301,sheet2!N:N,sheet2!B:B,1,0)</f>
        <v>North</v>
      </c>
      <c r="B301" s="56" t="s">
        <v>1016</v>
      </c>
      <c r="C301" s="56" t="s">
        <v>755</v>
      </c>
      <c r="D301" s="56" t="s">
        <v>756</v>
      </c>
      <c r="E301" s="56">
        <v>9354863679</v>
      </c>
      <c r="F301" s="67">
        <f t="shared" si="4"/>
        <v>9354863679</v>
      </c>
    </row>
    <row r="302" spans="1:6">
      <c r="A302" s="54" t="str">
        <f>_xlfn.XLOOKUP(D302,sheet2!N:N,sheet2!B:B,1,0)</f>
        <v>North</v>
      </c>
      <c r="B302" s="56" t="s">
        <v>1016</v>
      </c>
      <c r="C302" s="56" t="s">
        <v>759</v>
      </c>
      <c r="D302" s="56" t="s">
        <v>760</v>
      </c>
      <c r="E302" s="56">
        <v>9837003067</v>
      </c>
      <c r="F302" s="67">
        <f t="shared" si="4"/>
        <v>9837003067</v>
      </c>
    </row>
    <row r="303" spans="1:6">
      <c r="A303" s="54" t="str">
        <f>_xlfn.XLOOKUP(D303,sheet2!N:N,sheet2!B:B,1,0)</f>
        <v>East</v>
      </c>
      <c r="B303" s="56" t="s">
        <v>1016</v>
      </c>
      <c r="C303" s="56" t="s">
        <v>764</v>
      </c>
      <c r="D303" s="56" t="s">
        <v>765</v>
      </c>
      <c r="E303" s="56">
        <v>7908510116</v>
      </c>
      <c r="F303" s="67">
        <f t="shared" si="4"/>
        <v>7908510116</v>
      </c>
    </row>
    <row r="304" spans="1:6">
      <c r="A304" s="54" t="str">
        <f>_xlfn.XLOOKUP(D304,sheet2!N:N,sheet2!B:B,1,0)</f>
        <v>East</v>
      </c>
      <c r="B304" s="56" t="s">
        <v>1016</v>
      </c>
      <c r="C304" s="56" t="s">
        <v>767</v>
      </c>
      <c r="D304" s="56" t="s">
        <v>768</v>
      </c>
      <c r="E304" s="56" t="s">
        <v>769</v>
      </c>
      <c r="F304" s="67" t="str">
        <f t="shared" si="4"/>
        <v>6294 048 402</v>
      </c>
    </row>
    <row r="305" spans="1:6">
      <c r="A305" s="54" t="str">
        <f>_xlfn.XLOOKUP(D305,sheet2!N:N,sheet2!B:B,1,0)</f>
        <v>East</v>
      </c>
      <c r="B305" s="56" t="s">
        <v>1016</v>
      </c>
      <c r="C305" s="56" t="s">
        <v>773</v>
      </c>
      <c r="D305" s="56" t="s">
        <v>774</v>
      </c>
      <c r="E305" s="56">
        <v>7908731819</v>
      </c>
      <c r="F305" s="67">
        <f t="shared" si="4"/>
        <v>7908731819</v>
      </c>
    </row>
    <row r="306" spans="1:6">
      <c r="A306" s="54" t="str">
        <f>_xlfn.XLOOKUP(D306,sheet2!N:N,sheet2!B:B,1,0)</f>
        <v>East</v>
      </c>
      <c r="B306" s="56" t="s">
        <v>1016</v>
      </c>
      <c r="C306" s="56" t="s">
        <v>778</v>
      </c>
      <c r="D306" s="56" t="s">
        <v>779</v>
      </c>
      <c r="E306" s="56">
        <v>9674018677</v>
      </c>
      <c r="F306" s="67">
        <f t="shared" si="4"/>
        <v>9674018677</v>
      </c>
    </row>
    <row r="307" spans="1:6">
      <c r="A307" s="54" t="str">
        <f>_xlfn.XLOOKUP(D307,sheet2!N:N,sheet2!B:B,1,0)</f>
        <v>East</v>
      </c>
      <c r="B307" s="56" t="s">
        <v>1016</v>
      </c>
      <c r="C307" s="56" t="s">
        <v>785</v>
      </c>
      <c r="D307" s="56" t="s">
        <v>786</v>
      </c>
      <c r="E307" s="56">
        <v>9937659537</v>
      </c>
      <c r="F307" s="67">
        <f t="shared" si="4"/>
        <v>9937659537</v>
      </c>
    </row>
    <row r="308" spans="1:6">
      <c r="A308" s="54" t="str">
        <f>_xlfn.XLOOKUP(D308,sheet2!N:N,sheet2!B:B,1,0)</f>
        <v>North</v>
      </c>
      <c r="B308" s="56" t="s">
        <v>1016</v>
      </c>
      <c r="C308" s="56" t="s">
        <v>125</v>
      </c>
      <c r="D308" s="56" t="s">
        <v>790</v>
      </c>
      <c r="E308" s="56">
        <v>9999166970</v>
      </c>
      <c r="F308" s="67">
        <f t="shared" si="4"/>
        <v>9999166970</v>
      </c>
    </row>
    <row r="309" spans="1:6">
      <c r="A309" s="54" t="str">
        <f>_xlfn.XLOOKUP(D309,sheet2!N:N,sheet2!B:B,1,0)</f>
        <v>North</v>
      </c>
      <c r="B309" s="56" t="s">
        <v>1016</v>
      </c>
      <c r="C309" s="56" t="s">
        <v>793</v>
      </c>
      <c r="D309" s="56" t="s">
        <v>794</v>
      </c>
      <c r="E309" s="56">
        <v>7017142199</v>
      </c>
      <c r="F309" s="67">
        <f t="shared" si="4"/>
        <v>7017142199</v>
      </c>
    </row>
    <row r="310" spans="1:6">
      <c r="A310" s="54" t="str">
        <f>_xlfn.XLOOKUP(D310,sheet2!N:N,sheet2!B:B,1,0)</f>
        <v>South</v>
      </c>
      <c r="B310" s="56" t="s">
        <v>1016</v>
      </c>
      <c r="C310" s="56" t="s">
        <v>1022</v>
      </c>
      <c r="D310" s="56" t="s">
        <v>798</v>
      </c>
      <c r="E310" s="56">
        <v>9032477716</v>
      </c>
      <c r="F310" s="67">
        <f t="shared" si="4"/>
        <v>9032477716</v>
      </c>
    </row>
    <row r="311" spans="1:6">
      <c r="A311" s="54" t="str">
        <f>_xlfn.XLOOKUP(D311,sheet2!N:N,sheet2!B:B,1,0)</f>
        <v>North</v>
      </c>
      <c r="B311" s="56" t="s">
        <v>1016</v>
      </c>
      <c r="C311" s="56" t="s">
        <v>810</v>
      </c>
      <c r="D311" s="56" t="s">
        <v>811</v>
      </c>
      <c r="E311" s="56">
        <v>8795780451</v>
      </c>
      <c r="F311" s="67">
        <f t="shared" si="4"/>
        <v>8795780451</v>
      </c>
    </row>
    <row r="312" spans="1:6">
      <c r="A312" s="54" t="str">
        <f>_xlfn.XLOOKUP(D312,sheet2!N:N,sheet2!B:B,1,0)</f>
        <v>North</v>
      </c>
      <c r="B312" s="56" t="s">
        <v>1016</v>
      </c>
      <c r="C312" s="56" t="s">
        <v>819</v>
      </c>
      <c r="D312" s="56" t="s">
        <v>820</v>
      </c>
      <c r="E312" s="56">
        <v>8825144377</v>
      </c>
      <c r="F312" s="67">
        <f t="shared" si="4"/>
        <v>8825144377</v>
      </c>
    </row>
    <row r="313" spans="1:6">
      <c r="A313" s="54" t="str">
        <f>_xlfn.XLOOKUP(D313,sheet2!N:N,sheet2!B:B,1,0)</f>
        <v>West</v>
      </c>
      <c r="B313" s="56" t="s">
        <v>1016</v>
      </c>
      <c r="C313" s="56" t="s">
        <v>823</v>
      </c>
      <c r="D313" s="56" t="s">
        <v>824</v>
      </c>
      <c r="E313" s="56">
        <v>9637889815</v>
      </c>
      <c r="F313" s="67">
        <f t="shared" si="4"/>
        <v>9637889815</v>
      </c>
    </row>
    <row r="314" spans="1:6">
      <c r="A314" s="54" t="str">
        <f>_xlfn.XLOOKUP(D314,sheet2!N:N,sheet2!B:B,1,0)</f>
        <v>North</v>
      </c>
      <c r="B314" s="56" t="s">
        <v>1016</v>
      </c>
      <c r="C314" s="56" t="s">
        <v>828</v>
      </c>
      <c r="D314" s="56" t="s">
        <v>829</v>
      </c>
      <c r="E314" s="56">
        <v>8532901168</v>
      </c>
      <c r="F314" s="67">
        <f t="shared" si="4"/>
        <v>8532901168</v>
      </c>
    </row>
    <row r="315" spans="1:6">
      <c r="A315" s="54" t="str">
        <f>_xlfn.XLOOKUP(D315,sheet2!N:N,sheet2!B:B,1,0)</f>
        <v>South</v>
      </c>
      <c r="B315" s="56" t="s">
        <v>1016</v>
      </c>
      <c r="C315" s="56" t="s">
        <v>833</v>
      </c>
      <c r="D315" s="56" t="s">
        <v>834</v>
      </c>
      <c r="E315" s="56">
        <v>94923451390</v>
      </c>
      <c r="F315" s="67">
        <f t="shared" si="4"/>
        <v>94923451390</v>
      </c>
    </row>
    <row r="316" spans="1:6">
      <c r="A316" s="54" t="str">
        <f>_xlfn.XLOOKUP(D316,sheet2!N:N,sheet2!B:B,1,0)</f>
        <v>West</v>
      </c>
      <c r="B316" s="56" t="s">
        <v>1016</v>
      </c>
      <c r="C316" s="56" t="s">
        <v>838</v>
      </c>
      <c r="D316" s="56" t="s">
        <v>839</v>
      </c>
      <c r="E316" s="56">
        <v>9724030383</v>
      </c>
      <c r="F316" s="67">
        <f t="shared" si="4"/>
        <v>9724030383</v>
      </c>
    </row>
    <row r="317" spans="1:6">
      <c r="A317" s="54" t="str">
        <f>_xlfn.XLOOKUP(D317,sheet2!N:N,sheet2!B:B,1,0)</f>
        <v>North</v>
      </c>
      <c r="B317" s="56" t="s">
        <v>1016</v>
      </c>
      <c r="C317" s="56" t="s">
        <v>846</v>
      </c>
      <c r="D317" s="56" t="s">
        <v>847</v>
      </c>
      <c r="E317" s="56">
        <v>8299178319</v>
      </c>
      <c r="F317" s="67">
        <f t="shared" si="4"/>
        <v>8299178319</v>
      </c>
    </row>
    <row r="318" spans="1:6">
      <c r="A318" s="54" t="str">
        <f>_xlfn.XLOOKUP(D318,sheet2!N:N,sheet2!B:B,1,0)</f>
        <v>South</v>
      </c>
      <c r="B318" s="56" t="s">
        <v>1016</v>
      </c>
      <c r="C318" s="56" t="s">
        <v>1023</v>
      </c>
      <c r="D318" s="56" t="s">
        <v>852</v>
      </c>
      <c r="E318" s="56">
        <v>9511785864</v>
      </c>
      <c r="F318" s="67">
        <f t="shared" si="4"/>
        <v>9511785864</v>
      </c>
    </row>
    <row r="319" spans="1:6">
      <c r="A319" s="54" t="str">
        <f>_xlfn.XLOOKUP(D319,sheet2!N:N,sheet2!B:B,1,0)</f>
        <v>North</v>
      </c>
      <c r="B319" s="56" t="s">
        <v>1016</v>
      </c>
      <c r="C319" s="56" t="s">
        <v>857</v>
      </c>
      <c r="D319" s="56" t="s">
        <v>858</v>
      </c>
      <c r="E319" s="61">
        <v>8950644771</v>
      </c>
      <c r="F319" s="67">
        <f t="shared" si="4"/>
        <v>8950644771</v>
      </c>
    </row>
    <row r="320" spans="1:6">
      <c r="A320" s="54" t="str">
        <f>_xlfn.XLOOKUP(D320,sheet2!N:N,sheet2!B:B,1,0)</f>
        <v>South</v>
      </c>
      <c r="B320" s="56" t="s">
        <v>1016</v>
      </c>
      <c r="C320" s="56" t="s">
        <v>863</v>
      </c>
      <c r="D320" s="56" t="s">
        <v>864</v>
      </c>
      <c r="E320" s="56">
        <v>8247226013</v>
      </c>
      <c r="F320" s="67">
        <f t="shared" si="4"/>
        <v>8247226013</v>
      </c>
    </row>
    <row r="321" spans="1:6">
      <c r="A321" s="54" t="str">
        <f>_xlfn.XLOOKUP(D321,sheet2!N:N,sheet2!B:B,1,0)</f>
        <v>South</v>
      </c>
      <c r="B321" s="56" t="s">
        <v>1016</v>
      </c>
      <c r="C321" s="56" t="s">
        <v>1024</v>
      </c>
      <c r="D321" s="56" t="s">
        <v>868</v>
      </c>
      <c r="E321" s="56">
        <v>9080870413</v>
      </c>
      <c r="F321" s="67">
        <f t="shared" ref="F321:F364" si="5">E321</f>
        <v>9080870413</v>
      </c>
    </row>
    <row r="322" spans="1:6">
      <c r="A322" s="54" t="str">
        <f>_xlfn.XLOOKUP(D322,sheet2!N:N,sheet2!B:B,1,0)</f>
        <v>North</v>
      </c>
      <c r="B322" s="56" t="s">
        <v>1016</v>
      </c>
      <c r="C322" s="56" t="s">
        <v>114</v>
      </c>
      <c r="D322" s="56" t="s">
        <v>872</v>
      </c>
      <c r="E322" s="56">
        <v>9507747197</v>
      </c>
      <c r="F322" s="67">
        <f t="shared" si="5"/>
        <v>9507747197</v>
      </c>
    </row>
    <row r="323" spans="1:6">
      <c r="A323" s="54" t="str">
        <f>_xlfn.XLOOKUP(D323,sheet2!N:N,sheet2!B:B,1,0)</f>
        <v>South</v>
      </c>
      <c r="B323" s="56" t="s">
        <v>1016</v>
      </c>
      <c r="C323" s="56" t="s">
        <v>876</v>
      </c>
      <c r="D323" s="56" t="s">
        <v>877</v>
      </c>
      <c r="E323" s="56">
        <v>8129392273</v>
      </c>
      <c r="F323" s="67">
        <f t="shared" si="5"/>
        <v>8129392273</v>
      </c>
    </row>
    <row r="324" spans="1:6">
      <c r="A324" s="54" t="str">
        <f>_xlfn.XLOOKUP(D324,sheet2!N:N,sheet2!B:B,1,0)</f>
        <v>North</v>
      </c>
      <c r="B324" s="56" t="s">
        <v>1016</v>
      </c>
      <c r="C324" s="56" t="s">
        <v>817</v>
      </c>
      <c r="D324" s="56" t="s">
        <v>882</v>
      </c>
      <c r="E324" s="56">
        <v>6393953757</v>
      </c>
      <c r="F324" s="67">
        <f t="shared" si="5"/>
        <v>6393953757</v>
      </c>
    </row>
    <row r="325" spans="1:6">
      <c r="A325" s="54" t="str">
        <f>_xlfn.XLOOKUP(D325,sheet2!N:N,sheet2!B:B,1,0)</f>
        <v>South</v>
      </c>
      <c r="B325" s="56" t="s">
        <v>1016</v>
      </c>
      <c r="C325" s="56" t="s">
        <v>886</v>
      </c>
      <c r="D325" s="56" t="s">
        <v>887</v>
      </c>
      <c r="E325" s="56">
        <v>8056200304</v>
      </c>
      <c r="F325" s="67">
        <f t="shared" si="5"/>
        <v>8056200304</v>
      </c>
    </row>
    <row r="326" spans="1:6">
      <c r="A326" s="54" t="str">
        <f>_xlfn.XLOOKUP(D326,sheet2!N:N,sheet2!B:B,1,0)</f>
        <v>South</v>
      </c>
      <c r="B326" s="56" t="s">
        <v>1016</v>
      </c>
      <c r="C326" s="56" t="s">
        <v>893</v>
      </c>
      <c r="D326" s="56" t="s">
        <v>894</v>
      </c>
      <c r="E326" s="56">
        <v>7077134213</v>
      </c>
      <c r="F326" s="67">
        <f t="shared" si="5"/>
        <v>7077134213</v>
      </c>
    </row>
    <row r="327" spans="1:6">
      <c r="A327" s="54" t="str">
        <f>_xlfn.XLOOKUP(D327,sheet2!N:N,sheet2!B:B,1,0)</f>
        <v>North</v>
      </c>
      <c r="B327" s="56" t="s">
        <v>1016</v>
      </c>
      <c r="C327" s="56" t="s">
        <v>899</v>
      </c>
      <c r="D327" s="56" t="s">
        <v>900</v>
      </c>
      <c r="E327" s="56" t="s">
        <v>901</v>
      </c>
      <c r="F327" s="67" t="str">
        <f t="shared" si="5"/>
        <v>81469 33996</v>
      </c>
    </row>
    <row r="328" spans="1:6">
      <c r="A328" s="54" t="str">
        <f>_xlfn.XLOOKUP(D328,sheet2!N:N,sheet2!B:B,1,0)</f>
        <v>West</v>
      </c>
      <c r="B328" s="56" t="s">
        <v>1016</v>
      </c>
      <c r="C328" s="56" t="s">
        <v>906</v>
      </c>
      <c r="D328" s="56" t="s">
        <v>907</v>
      </c>
      <c r="E328" s="56">
        <v>8888947833</v>
      </c>
      <c r="F328" s="67">
        <f t="shared" si="5"/>
        <v>8888947833</v>
      </c>
    </row>
    <row r="329" spans="1:6">
      <c r="A329" s="54" t="str">
        <f>_xlfn.XLOOKUP(D329,sheet2!N:N,sheet2!B:B,1,0)</f>
        <v>North</v>
      </c>
      <c r="B329" s="56" t="s">
        <v>1016</v>
      </c>
      <c r="C329" s="56" t="s">
        <v>911</v>
      </c>
      <c r="D329" s="56" t="s">
        <v>912</v>
      </c>
      <c r="E329" s="56">
        <v>9521734046</v>
      </c>
      <c r="F329" s="67">
        <f t="shared" si="5"/>
        <v>9521734046</v>
      </c>
    </row>
    <row r="330" spans="1:6">
      <c r="A330" s="54" t="str">
        <f>_xlfn.XLOOKUP(D330,sheet2!N:N,sheet2!B:B,1,0)</f>
        <v>North</v>
      </c>
      <c r="B330" s="56" t="s">
        <v>1016</v>
      </c>
      <c r="C330" s="56" t="s">
        <v>916</v>
      </c>
      <c r="D330" s="56" t="s">
        <v>917</v>
      </c>
      <c r="E330" s="56">
        <v>6387278620</v>
      </c>
      <c r="F330" s="67">
        <f t="shared" si="5"/>
        <v>6387278620</v>
      </c>
    </row>
    <row r="331" spans="1:6">
      <c r="A331" s="54" t="str">
        <f>_xlfn.XLOOKUP(D331,sheet2!N:N,sheet2!B:B,1,0)</f>
        <v>North</v>
      </c>
      <c r="B331" s="56" t="s">
        <v>1016</v>
      </c>
      <c r="C331" s="56" t="s">
        <v>930</v>
      </c>
      <c r="D331" s="56" t="s">
        <v>931</v>
      </c>
      <c r="E331" s="56">
        <v>9501875303</v>
      </c>
      <c r="F331" s="67">
        <f t="shared" si="5"/>
        <v>9501875303</v>
      </c>
    </row>
    <row r="332" spans="1:6">
      <c r="A332" s="54" t="str">
        <f>_xlfn.XLOOKUP(D332,sheet2!N:N,sheet2!B:B,1,0)</f>
        <v>West</v>
      </c>
      <c r="B332" s="56" t="s">
        <v>1016</v>
      </c>
      <c r="C332" s="56" t="s">
        <v>942</v>
      </c>
      <c r="D332" s="56" t="s">
        <v>943</v>
      </c>
      <c r="E332" s="56">
        <v>8483900198</v>
      </c>
      <c r="F332" s="67">
        <f t="shared" si="5"/>
        <v>8483900198</v>
      </c>
    </row>
    <row r="333" spans="1:6">
      <c r="A333" s="54" t="str">
        <f>_xlfn.XLOOKUP(D333,sheet2!N:N,sheet2!B:B,1,0)</f>
        <v>West</v>
      </c>
      <c r="B333" s="56" t="s">
        <v>1016</v>
      </c>
      <c r="C333" s="56" t="s">
        <v>949</v>
      </c>
      <c r="D333" s="56" t="s">
        <v>446</v>
      </c>
      <c r="E333" s="56">
        <v>8959620999</v>
      </c>
      <c r="F333" s="67">
        <f t="shared" si="5"/>
        <v>8959620999</v>
      </c>
    </row>
    <row r="334" spans="1:6">
      <c r="A334" s="54" t="str">
        <f>_xlfn.XLOOKUP(D334,sheet2!Q:Q,sheet2!B:B,1,0)</f>
        <v>West</v>
      </c>
      <c r="B334" s="56" t="s">
        <v>1016</v>
      </c>
      <c r="C334" s="56" t="s">
        <v>1017</v>
      </c>
      <c r="D334" s="56" t="s">
        <v>57</v>
      </c>
      <c r="E334" s="56">
        <v>9226395808</v>
      </c>
      <c r="F334" s="67">
        <f t="shared" si="5"/>
        <v>9226395808</v>
      </c>
    </row>
    <row r="335" spans="1:6">
      <c r="A335" s="54" t="str">
        <f>_xlfn.XLOOKUP(D335,sheet2!Q:Q,sheet2!B:B,1,0)</f>
        <v>South</v>
      </c>
      <c r="B335" s="56" t="s">
        <v>1016</v>
      </c>
      <c r="C335" s="56" t="s">
        <v>98</v>
      </c>
      <c r="D335" s="56" t="s">
        <v>99</v>
      </c>
      <c r="E335" s="56" t="s">
        <v>100</v>
      </c>
      <c r="F335" s="67" t="str">
        <f t="shared" si="5"/>
        <v>824 875 4934</v>
      </c>
    </row>
    <row r="336" spans="1:6">
      <c r="A336" s="54" t="str">
        <f>_xlfn.XLOOKUP(D336,sheet2!Q:Q,sheet2!B:B,1,0)</f>
        <v>South</v>
      </c>
      <c r="B336" s="56" t="s">
        <v>1016</v>
      </c>
      <c r="C336" s="56" t="s">
        <v>131</v>
      </c>
      <c r="D336" s="56" t="s">
        <v>132</v>
      </c>
      <c r="E336" s="56" t="s">
        <v>133</v>
      </c>
      <c r="F336" s="67" t="str">
        <f t="shared" si="5"/>
        <v>60009 81093</v>
      </c>
    </row>
    <row r="337" spans="1:6">
      <c r="A337" s="54" t="str">
        <f>_xlfn.XLOOKUP(D337,sheet2!Q:Q,sheet2!B:B,1,0)</f>
        <v>East</v>
      </c>
      <c r="B337" s="56" t="s">
        <v>1016</v>
      </c>
      <c r="C337" s="56" t="s">
        <v>175</v>
      </c>
      <c r="D337" s="56" t="s">
        <v>176</v>
      </c>
      <c r="E337" s="56">
        <v>9706785585</v>
      </c>
      <c r="F337" s="67">
        <f t="shared" si="5"/>
        <v>9706785585</v>
      </c>
    </row>
    <row r="338" spans="1:6">
      <c r="A338" s="54" t="str">
        <f>_xlfn.XLOOKUP(D338,sheet2!Q:Q,sheet2!B:B,1,0)</f>
        <v>West</v>
      </c>
      <c r="B338" s="56" t="s">
        <v>1016</v>
      </c>
      <c r="C338" s="56" t="s">
        <v>206</v>
      </c>
      <c r="D338" s="56" t="s">
        <v>207</v>
      </c>
      <c r="E338" s="56">
        <v>8319900868</v>
      </c>
      <c r="F338" s="67">
        <f t="shared" si="5"/>
        <v>8319900868</v>
      </c>
    </row>
    <row r="339" spans="1:6">
      <c r="A339" s="54" t="str">
        <f>_xlfn.XLOOKUP(D339,sheet2!Q:Q,sheet2!B:B,1,0)</f>
        <v>East</v>
      </c>
      <c r="B339" s="56" t="s">
        <v>1016</v>
      </c>
      <c r="C339" s="56" t="s">
        <v>251</v>
      </c>
      <c r="D339" s="56" t="s">
        <v>252</v>
      </c>
      <c r="E339" s="56">
        <v>8777826460</v>
      </c>
      <c r="F339" s="67">
        <f t="shared" si="5"/>
        <v>8777826460</v>
      </c>
    </row>
    <row r="340" spans="1:6">
      <c r="A340" s="54" t="str">
        <f>_xlfn.XLOOKUP(D340,sheet2!Q:Q,sheet2!B:B,1,0)</f>
        <v>West</v>
      </c>
      <c r="B340" s="56" t="s">
        <v>1016</v>
      </c>
      <c r="C340" s="56" t="s">
        <v>290</v>
      </c>
      <c r="D340" s="56" t="s">
        <v>291</v>
      </c>
      <c r="E340" s="56">
        <v>9527375893</v>
      </c>
      <c r="F340" s="67">
        <f t="shared" si="5"/>
        <v>9527375893</v>
      </c>
    </row>
    <row r="341" spans="1:6">
      <c r="A341" s="54" t="str">
        <f>_xlfn.XLOOKUP(D341,sheet2!Q:Q,sheet2!B:B,1,0)</f>
        <v>East</v>
      </c>
      <c r="B341" s="56" t="s">
        <v>1016</v>
      </c>
      <c r="C341" s="56" t="s">
        <v>299</v>
      </c>
      <c r="D341" s="56" t="s">
        <v>300</v>
      </c>
      <c r="E341" s="56">
        <v>8840618252</v>
      </c>
      <c r="F341" s="67">
        <f t="shared" si="5"/>
        <v>8840618252</v>
      </c>
    </row>
    <row r="342" spans="1:6">
      <c r="A342" s="54" t="str">
        <f>_xlfn.XLOOKUP(D342,sheet2!Q:Q,sheet2!B:B,1,0)</f>
        <v>East</v>
      </c>
      <c r="B342" s="56" t="s">
        <v>1016</v>
      </c>
      <c r="C342" s="56" t="s">
        <v>326</v>
      </c>
      <c r="D342" s="56" t="s">
        <v>327</v>
      </c>
      <c r="E342" s="56">
        <v>7002141897</v>
      </c>
      <c r="F342" s="67">
        <f t="shared" si="5"/>
        <v>7002141897</v>
      </c>
    </row>
    <row r="343" spans="1:6">
      <c r="A343" s="54" t="str">
        <f>_xlfn.XLOOKUP(D343,sheet2!Q:Q,sheet2!B:B,1,0)</f>
        <v>East</v>
      </c>
      <c r="B343" s="56" t="s">
        <v>1016</v>
      </c>
      <c r="C343" s="56" t="s">
        <v>340</v>
      </c>
      <c r="D343" s="56" t="s">
        <v>341</v>
      </c>
      <c r="E343" s="56">
        <v>6289797052</v>
      </c>
      <c r="F343" s="67">
        <f t="shared" si="5"/>
        <v>6289797052</v>
      </c>
    </row>
    <row r="344" spans="1:6">
      <c r="A344" s="54" t="str">
        <f>_xlfn.XLOOKUP(D344,sheet2!Q:Q,sheet2!B:B,1,0)</f>
        <v>South</v>
      </c>
      <c r="B344" s="56" t="s">
        <v>1016</v>
      </c>
      <c r="C344" s="56" t="s">
        <v>396</v>
      </c>
      <c r="D344" s="56" t="s">
        <v>397</v>
      </c>
      <c r="E344" s="56">
        <v>7337008546</v>
      </c>
      <c r="F344" s="67">
        <f t="shared" si="5"/>
        <v>7337008546</v>
      </c>
    </row>
    <row r="345" spans="1:6">
      <c r="A345" s="54" t="str">
        <f>_xlfn.XLOOKUP(D345,sheet2!Q:Q,sheet2!B:B,1,0)</f>
        <v>East</v>
      </c>
      <c r="B345" s="56" t="s">
        <v>1016</v>
      </c>
      <c r="C345" s="56" t="s">
        <v>415</v>
      </c>
      <c r="D345" s="56" t="s">
        <v>416</v>
      </c>
      <c r="E345" s="56">
        <v>7654669235</v>
      </c>
      <c r="F345" s="67">
        <f t="shared" si="5"/>
        <v>7654669235</v>
      </c>
    </row>
    <row r="346" spans="1:6">
      <c r="A346" s="54" t="str">
        <f>_xlfn.XLOOKUP(D346,sheet2!Q:Q,sheet2!B:B,1,0)</f>
        <v>West</v>
      </c>
      <c r="B346" s="56" t="s">
        <v>1016</v>
      </c>
      <c r="C346" s="56" t="s">
        <v>428</v>
      </c>
      <c r="D346" s="56" t="s">
        <v>429</v>
      </c>
      <c r="E346" s="56">
        <v>8962798776</v>
      </c>
      <c r="F346" s="67">
        <f t="shared" si="5"/>
        <v>8962798776</v>
      </c>
    </row>
    <row r="347" spans="1:6">
      <c r="A347" s="54" t="str">
        <f>_xlfn.XLOOKUP(D347,sheet2!Q:Q,sheet2!B:B,1,0)</f>
        <v>East</v>
      </c>
      <c r="B347" s="56" t="s">
        <v>1016</v>
      </c>
      <c r="C347" s="56" t="s">
        <v>452</v>
      </c>
      <c r="D347" s="62" t="s">
        <v>453</v>
      </c>
      <c r="E347" s="56" t="s">
        <v>454</v>
      </c>
      <c r="F347" s="67" t="str">
        <f t="shared" si="5"/>
        <v>90071 33024</v>
      </c>
    </row>
    <row r="348" spans="1:6">
      <c r="A348" s="54" t="str">
        <f>_xlfn.XLOOKUP(D348,sheet2!Q:Q,sheet2!B:B,1,0)</f>
        <v>East</v>
      </c>
      <c r="B348" s="56" t="s">
        <v>1016</v>
      </c>
      <c r="C348" s="56" t="s">
        <v>481</v>
      </c>
      <c r="D348" s="56" t="s">
        <v>482</v>
      </c>
      <c r="E348" s="56">
        <v>7260988849</v>
      </c>
      <c r="F348" s="67">
        <f t="shared" si="5"/>
        <v>7260988849</v>
      </c>
    </row>
    <row r="349" spans="1:6">
      <c r="A349" s="54" t="str">
        <f>_xlfn.XLOOKUP(D349,sheet2!Q:Q,sheet2!B:B,1,0)</f>
        <v>South</v>
      </c>
      <c r="B349" s="56" t="s">
        <v>1016</v>
      </c>
      <c r="C349" s="56" t="s">
        <v>491</v>
      </c>
      <c r="D349" s="56" t="s">
        <v>492</v>
      </c>
      <c r="E349" s="56">
        <v>8883257427</v>
      </c>
      <c r="F349" s="67">
        <f t="shared" si="5"/>
        <v>8883257427</v>
      </c>
    </row>
    <row r="350" spans="1:6">
      <c r="A350" s="54" t="str">
        <f>_xlfn.XLOOKUP(D350,sheet2!Q:Q,sheet2!B:B,1,0)</f>
        <v>South</v>
      </c>
      <c r="B350" s="56" t="s">
        <v>1016</v>
      </c>
      <c r="C350" s="56" t="s">
        <v>498</v>
      </c>
      <c r="D350" s="56" t="s">
        <v>499</v>
      </c>
      <c r="E350" s="56">
        <v>9072731195</v>
      </c>
      <c r="F350" s="67">
        <f t="shared" si="5"/>
        <v>9072731195</v>
      </c>
    </row>
    <row r="351" spans="1:6">
      <c r="A351" s="54" t="str">
        <f>_xlfn.XLOOKUP(D351,sheet2!Q:Q,sheet2!B:B,1,0)</f>
        <v>South</v>
      </c>
      <c r="B351" s="56" t="s">
        <v>1016</v>
      </c>
      <c r="C351" s="56" t="s">
        <v>524</v>
      </c>
      <c r="D351" s="56" t="s">
        <v>525</v>
      </c>
      <c r="E351" s="56">
        <v>8754667886</v>
      </c>
      <c r="F351" s="67">
        <f t="shared" si="5"/>
        <v>8754667886</v>
      </c>
    </row>
    <row r="352" spans="1:6">
      <c r="A352" s="54" t="str">
        <f>_xlfn.XLOOKUP(D352,sheet2!Q:Q,sheet2!B:B,1,0)</f>
        <v>West</v>
      </c>
      <c r="B352" s="56" t="s">
        <v>1016</v>
      </c>
      <c r="C352" s="56" t="s">
        <v>1025</v>
      </c>
      <c r="D352" s="56" t="s">
        <v>570</v>
      </c>
      <c r="E352" s="56">
        <v>7218717822</v>
      </c>
      <c r="F352" s="67">
        <f t="shared" si="5"/>
        <v>7218717822</v>
      </c>
    </row>
    <row r="353" spans="1:6">
      <c r="A353" s="54" t="str">
        <f>_xlfn.XLOOKUP(D353,sheet2!Q:Q,sheet2!B:B,1,0)</f>
        <v>West</v>
      </c>
      <c r="B353" s="56" t="s">
        <v>1016</v>
      </c>
      <c r="C353" s="56" t="s">
        <v>1026</v>
      </c>
      <c r="D353" s="56" t="s">
        <v>625</v>
      </c>
      <c r="E353" s="56">
        <v>8770933174</v>
      </c>
      <c r="F353" s="67">
        <f t="shared" si="5"/>
        <v>8770933174</v>
      </c>
    </row>
    <row r="354" spans="1:6">
      <c r="A354" s="54" t="str">
        <f>_xlfn.XLOOKUP(D354,sheet2!Q:Q,sheet2!B:B,1,0)</f>
        <v>South</v>
      </c>
      <c r="B354" s="56" t="s">
        <v>1016</v>
      </c>
      <c r="C354" s="56" t="s">
        <v>630</v>
      </c>
      <c r="D354" s="56" t="s">
        <v>631</v>
      </c>
      <c r="E354" s="56">
        <v>9491229298</v>
      </c>
      <c r="F354" s="67">
        <f t="shared" si="5"/>
        <v>9491229298</v>
      </c>
    </row>
    <row r="355" spans="1:6">
      <c r="A355" s="54" t="str">
        <f>_xlfn.XLOOKUP(D355,sheet2!Q:Q,sheet2!B:B,1,0)</f>
        <v>East</v>
      </c>
      <c r="B355" s="56" t="s">
        <v>1016</v>
      </c>
      <c r="C355" s="56" t="s">
        <v>677</v>
      </c>
      <c r="D355" s="56" t="s">
        <v>678</v>
      </c>
      <c r="E355" s="56">
        <v>6203582866</v>
      </c>
      <c r="F355" s="67">
        <f t="shared" si="5"/>
        <v>6203582866</v>
      </c>
    </row>
    <row r="356" spans="1:6">
      <c r="A356" s="54" t="str">
        <f>_xlfn.XLOOKUP(D356,sheet2!Q:Q,sheet2!B:B,1,0)</f>
        <v>West</v>
      </c>
      <c r="B356" s="56" t="s">
        <v>1016</v>
      </c>
      <c r="C356" s="56" t="s">
        <v>685</v>
      </c>
      <c r="D356" s="62" t="s">
        <v>686</v>
      </c>
      <c r="E356" s="62">
        <v>8827557496</v>
      </c>
      <c r="F356" s="67">
        <f t="shared" si="5"/>
        <v>8827557496</v>
      </c>
    </row>
    <row r="357" spans="1:6">
      <c r="A357" s="54" t="str">
        <f>_xlfn.XLOOKUP(D357,sheet2!Q:Q,sheet2!B:B,1,0)</f>
        <v>East</v>
      </c>
      <c r="B357" s="56" t="s">
        <v>1016</v>
      </c>
      <c r="C357" s="56" t="s">
        <v>697</v>
      </c>
      <c r="D357" s="56" t="s">
        <v>698</v>
      </c>
      <c r="E357" s="56">
        <v>9693677858</v>
      </c>
      <c r="F357" s="67">
        <f t="shared" si="5"/>
        <v>9693677858</v>
      </c>
    </row>
    <row r="358" spans="1:6">
      <c r="A358" s="54" t="str">
        <f>_xlfn.XLOOKUP(D358,sheet2!Q:Q,sheet2!B:B,1,0)</f>
        <v>East</v>
      </c>
      <c r="B358" s="56" t="s">
        <v>1016</v>
      </c>
      <c r="C358" s="56" t="s">
        <v>780</v>
      </c>
      <c r="D358" s="56" t="s">
        <v>781</v>
      </c>
      <c r="E358" s="56">
        <v>9771644442</v>
      </c>
      <c r="F358" s="67">
        <f t="shared" si="5"/>
        <v>9771644442</v>
      </c>
    </row>
    <row r="359" spans="1:6">
      <c r="A359" s="54" t="str">
        <f>_xlfn.XLOOKUP(D359,sheet2!Q:Q,sheet2!B:B,1,0)</f>
        <v>South</v>
      </c>
      <c r="B359" s="56" t="s">
        <v>1016</v>
      </c>
      <c r="C359" s="56" t="s">
        <v>799</v>
      </c>
      <c r="D359" s="56" t="s">
        <v>800</v>
      </c>
      <c r="E359" s="56">
        <v>7077518998</v>
      </c>
      <c r="F359" s="67">
        <f t="shared" si="5"/>
        <v>7077518998</v>
      </c>
    </row>
    <row r="360" spans="1:6">
      <c r="A360" s="54" t="str">
        <f>_xlfn.XLOOKUP(D360,sheet2!Q:Q,sheet2!B:B,1,0)</f>
        <v>South</v>
      </c>
      <c r="B360" s="56" t="s">
        <v>1016</v>
      </c>
      <c r="C360" s="56" t="s">
        <v>835</v>
      </c>
      <c r="D360" s="56" t="s">
        <v>836</v>
      </c>
      <c r="E360" s="56">
        <v>9491120882</v>
      </c>
      <c r="F360" s="67">
        <f t="shared" si="5"/>
        <v>9491120882</v>
      </c>
    </row>
    <row r="361" spans="1:6">
      <c r="A361" s="54" t="str">
        <f>_xlfn.XLOOKUP(D361,sheet2!Q:Q,sheet2!B:B,1,0)</f>
        <v>South</v>
      </c>
      <c r="B361" s="56" t="s">
        <v>1016</v>
      </c>
      <c r="C361" s="56" t="s">
        <v>500</v>
      </c>
      <c r="D361" s="56" t="s">
        <v>888</v>
      </c>
      <c r="E361" s="56" t="s">
        <v>889</v>
      </c>
      <c r="F361" s="67" t="str">
        <f t="shared" si="5"/>
        <v>90035 90454</v>
      </c>
    </row>
    <row r="362" spans="1:6">
      <c r="A362" s="54" t="str">
        <f>_xlfn.XLOOKUP(D362,sheet2!Q:Q,sheet2!B:B,1,0)</f>
        <v>South</v>
      </c>
      <c r="B362" s="56" t="s">
        <v>1016</v>
      </c>
      <c r="C362" s="56" t="s">
        <v>1027</v>
      </c>
      <c r="D362" s="56" t="s">
        <v>895</v>
      </c>
      <c r="E362" s="56">
        <v>9901443741</v>
      </c>
      <c r="F362" s="67">
        <f t="shared" si="5"/>
        <v>9901443741</v>
      </c>
    </row>
    <row r="363" spans="1:6">
      <c r="A363" s="54" t="str">
        <f>_xlfn.XLOOKUP(D363,sheet2!Q:Q,sheet2!B:B,1,0)</f>
        <v>West</v>
      </c>
      <c r="B363" s="56" t="s">
        <v>1016</v>
      </c>
      <c r="C363" s="56" t="s">
        <v>937</v>
      </c>
      <c r="D363" s="56" t="s">
        <v>938</v>
      </c>
      <c r="E363" s="56">
        <v>9860083678</v>
      </c>
      <c r="F363" s="67">
        <f t="shared" si="5"/>
        <v>9860083678</v>
      </c>
    </row>
    <row r="364" spans="1:6">
      <c r="A364" s="54" t="str">
        <f>_xlfn.XLOOKUP(D364,sheet2!Q:Q,sheet2!B:B,1,0)</f>
        <v>West</v>
      </c>
      <c r="B364" s="56" t="s">
        <v>1016</v>
      </c>
      <c r="C364" s="56" t="s">
        <v>950</v>
      </c>
      <c r="D364" s="56" t="s">
        <v>951</v>
      </c>
      <c r="E364" s="56">
        <v>6265255909</v>
      </c>
      <c r="F364" s="67">
        <f t="shared" si="5"/>
        <v>6265255909</v>
      </c>
    </row>
  </sheetData>
  <hyperlinks>
    <hyperlink ref="D70" r:id="rId1" display="mailto:sombir@meesho.com" xr:uid="{0940F959-E5B8-4ED1-9F0B-69E126FF8278}"/>
    <hyperlink ref="D175" r:id="rId2" display="mailto:pradip.bhoi@meesho.com" xr:uid="{42419C14-6C4C-4F81-8D35-194BEA504E92}"/>
    <hyperlink ref="D190" r:id="rId3" display="mailto:mukul.goyal@meesho.com" xr:uid="{186E2AC0-B756-4DB4-94AB-FBCDA0DD1A78}"/>
    <hyperlink ref="D221" r:id="rId4" display="mailto:arvind.yadav@meesho.com" xr:uid="{0EA827E1-9560-4615-9B61-E77149E51D6A}"/>
    <hyperlink ref="D226" r:id="rId5" display="mailto:sonu.yadav@meesho.com" xr:uid="{5831F6EA-5F5C-4779-95BD-6F82442356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Gunasekaran</dc:creator>
  <cp:lastModifiedBy>Karthik Gunasekaran</cp:lastModifiedBy>
  <dcterms:created xsi:type="dcterms:W3CDTF">2026-03-17T03:20:11Z</dcterms:created>
  <dcterms:modified xsi:type="dcterms:W3CDTF">2026-03-18T10:47:40Z</dcterms:modified>
</cp:coreProperties>
</file>