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thik Gunasekaran\Desktop\loss\"/>
    </mc:Choice>
  </mc:AlternateContent>
  <xr:revisionPtr revIDLastSave="0" documentId="8_{B5B79F66-DEFE-456D-A21B-423966F9FA6A}" xr6:coauthVersionLast="47" xr6:coauthVersionMax="47" xr10:uidLastSave="{00000000-0000-0000-0000-000000000000}"/>
  <bookViews>
    <workbookView xWindow="-110" yWindow="-110" windowWidth="19420" windowHeight="10300" xr2:uid="{7CB5F7C4-0CE7-4E65-94CA-08F0ED0F19B0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36" i="1" l="1"/>
  <c r="K219" i="1"/>
  <c r="K110" i="1"/>
  <c r="M22" i="1"/>
  <c r="M198" i="1"/>
  <c r="K61" i="1"/>
  <c r="K177" i="1"/>
  <c r="M134" i="1"/>
  <c r="K22" i="1"/>
  <c r="K83" i="1"/>
  <c r="M48" i="1"/>
  <c r="K51" i="1"/>
  <c r="K31" i="1"/>
  <c r="M254" i="1"/>
  <c r="K30" i="1"/>
  <c r="K254" i="1"/>
  <c r="K198" i="1"/>
  <c r="M151" i="1"/>
  <c r="K107" i="1"/>
  <c r="K82" i="1"/>
  <c r="M29" i="1"/>
  <c r="M248" i="1"/>
  <c r="K233" i="1"/>
  <c r="K213" i="1"/>
  <c r="K176" i="1"/>
  <c r="K106" i="1"/>
  <c r="M81" i="1"/>
  <c r="M50" i="1"/>
  <c r="K248" i="1"/>
  <c r="K196" i="1"/>
  <c r="K151" i="1"/>
  <c r="M124" i="1"/>
  <c r="M105" i="1"/>
  <c r="M78" i="1"/>
  <c r="K27" i="1"/>
  <c r="K231" i="1"/>
  <c r="M195" i="1"/>
  <c r="K173" i="1"/>
  <c r="M150" i="1"/>
  <c r="M233" i="1"/>
  <c r="M218" i="1"/>
  <c r="M176" i="1"/>
  <c r="K158" i="1"/>
  <c r="M82" i="1"/>
  <c r="M245" i="1"/>
  <c r="M230" i="1"/>
  <c r="K210" i="1"/>
  <c r="M172" i="1"/>
  <c r="K148" i="1"/>
  <c r="K124" i="1"/>
  <c r="K97" i="1"/>
  <c r="K78" i="1"/>
  <c r="M20" i="1"/>
  <c r="K171" i="1"/>
  <c r="M147" i="1"/>
  <c r="M123" i="1"/>
  <c r="M96" i="1"/>
  <c r="M4" i="1"/>
  <c r="K12" i="1"/>
  <c r="K26" i="1"/>
  <c r="M39" i="1"/>
  <c r="K46" i="1"/>
  <c r="M53" i="1"/>
  <c r="K60" i="1"/>
  <c r="K88" i="1"/>
  <c r="K95" i="1"/>
  <c r="K102" i="1"/>
  <c r="K109" i="1"/>
  <c r="M115" i="1"/>
  <c r="K122" i="1"/>
  <c r="M129" i="1"/>
  <c r="K136" i="1"/>
  <c r="K150" i="1"/>
  <c r="M162" i="1"/>
  <c r="M168" i="1"/>
  <c r="M175" i="1"/>
  <c r="M181" i="1"/>
  <c r="K206" i="1"/>
  <c r="K212" i="1"/>
  <c r="K218" i="1"/>
  <c r="M223" i="1"/>
  <c r="M235" i="1"/>
  <c r="K247" i="1"/>
  <c r="K5" i="1"/>
  <c r="M18" i="1"/>
  <c r="M32" i="1"/>
  <c r="K40" i="1"/>
  <c r="K47" i="1"/>
  <c r="K54" i="1"/>
  <c r="M60" i="1"/>
  <c r="M67" i="1"/>
  <c r="M74" i="1"/>
  <c r="K8" i="1"/>
  <c r="M15" i="1"/>
  <c r="M28" i="1"/>
  <c r="M42" i="1"/>
  <c r="K50" i="1"/>
  <c r="K64" i="1"/>
  <c r="M77" i="1"/>
  <c r="K84" i="1"/>
  <c r="M91" i="1"/>
  <c r="K98" i="1"/>
  <c r="K126" i="1"/>
  <c r="K133" i="1"/>
  <c r="K140" i="1"/>
  <c r="M146" i="1"/>
  <c r="K153" i="1"/>
  <c r="K159" i="1"/>
  <c r="K166" i="1"/>
  <c r="K172" i="1"/>
  <c r="M178" i="1"/>
  <c r="K209" i="1"/>
  <c r="K215" i="1"/>
  <c r="K221" i="1"/>
  <c r="M226" i="1"/>
  <c r="K256" i="1"/>
  <c r="K21" i="1"/>
  <c r="K37" i="1"/>
  <c r="M85" i="1"/>
  <c r="M98" i="1"/>
  <c r="M112" i="1"/>
  <c r="K179" i="1"/>
  <c r="M191" i="1"/>
  <c r="K202" i="1"/>
  <c r="M213" i="1"/>
  <c r="M225" i="1"/>
  <c r="K237" i="1"/>
  <c r="K249" i="1"/>
  <c r="K7" i="1"/>
  <c r="M6" i="1"/>
  <c r="M54" i="1"/>
  <c r="M70" i="1"/>
  <c r="K86" i="1"/>
  <c r="M99" i="1"/>
  <c r="M113" i="1"/>
  <c r="M126" i="1"/>
  <c r="M140" i="1"/>
  <c r="M153" i="1"/>
  <c r="M166" i="1"/>
  <c r="K192" i="1"/>
  <c r="M203" i="1"/>
  <c r="K227" i="1"/>
  <c r="M238" i="1"/>
  <c r="M250" i="1"/>
  <c r="K23" i="1"/>
  <c r="K72" i="1"/>
  <c r="K100" i="1"/>
  <c r="K114" i="1"/>
  <c r="M127" i="1"/>
  <c r="M141" i="1"/>
  <c r="K154" i="1"/>
  <c r="K167" i="1"/>
  <c r="K193" i="1"/>
  <c r="K204" i="1"/>
  <c r="K216" i="1"/>
  <c r="K251" i="1"/>
  <c r="K9" i="1"/>
  <c r="M40" i="1"/>
  <c r="M56" i="1"/>
  <c r="K116" i="1"/>
  <c r="K130" i="1"/>
  <c r="M143" i="1"/>
  <c r="M156" i="1"/>
  <c r="K182" i="1"/>
  <c r="K195" i="1"/>
  <c r="K228" i="1"/>
  <c r="M239" i="1"/>
  <c r="M26" i="1"/>
  <c r="M41" i="1"/>
  <c r="K75" i="1"/>
  <c r="M88" i="1"/>
  <c r="M102" i="1"/>
  <c r="K144" i="1"/>
  <c r="K157" i="1"/>
  <c r="M182" i="1"/>
  <c r="M206" i="1"/>
  <c r="M241" i="1"/>
  <c r="M253" i="1"/>
  <c r="M9" i="1"/>
  <c r="M43" i="1"/>
  <c r="M58" i="1"/>
  <c r="K89" i="1"/>
  <c r="K103" i="1"/>
  <c r="M116" i="1"/>
  <c r="M130" i="1"/>
  <c r="K145" i="1"/>
  <c r="M157" i="1"/>
  <c r="M170" i="1"/>
  <c r="M244" i="1"/>
  <c r="K208" i="1"/>
  <c r="K189" i="1"/>
  <c r="K164" i="1"/>
  <c r="K147" i="1"/>
  <c r="M120" i="1"/>
  <c r="K69" i="1"/>
  <c r="M44" i="1"/>
  <c r="M16" i="1"/>
  <c r="K243" i="1"/>
  <c r="K224" i="1"/>
  <c r="M188" i="1"/>
  <c r="M163" i="1"/>
  <c r="K120" i="1"/>
  <c r="K68" i="1"/>
  <c r="K44" i="1"/>
  <c r="K222" i="1"/>
  <c r="K207" i="1"/>
  <c r="M119" i="1"/>
  <c r="M92" i="1"/>
  <c r="K65" i="1"/>
  <c r="M36" i="1"/>
  <c r="K16" i="1"/>
  <c r="K257" i="1"/>
  <c r="K242" i="1"/>
  <c r="M221" i="1"/>
  <c r="K186" i="1"/>
  <c r="K163" i="1"/>
  <c r="K138" i="1"/>
  <c r="M64" i="1"/>
  <c r="M34" i="1"/>
  <c r="M256" i="1"/>
  <c r="M236" i="1"/>
  <c r="K201" i="1"/>
  <c r="M185" i="1"/>
  <c r="K161" i="1"/>
  <c r="M137" i="1"/>
  <c r="M110" i="1"/>
  <c r="K92" i="1"/>
  <c r="K13" i="1"/>
  <c r="M200" i="1"/>
  <c r="M183" i="1"/>
  <c r="M160" i="1"/>
  <c r="M12" i="1"/>
  <c r="M255" i="1"/>
  <c r="M249" i="1"/>
  <c r="K244" i="1"/>
  <c r="K238" i="1"/>
  <c r="K232" i="1"/>
  <c r="M220" i="1"/>
  <c r="M208" i="1"/>
  <c r="K203" i="1"/>
  <c r="M196" i="1"/>
  <c r="K191" i="1"/>
  <c r="K178" i="1"/>
  <c r="M171" i="1"/>
  <c r="M165" i="1"/>
  <c r="M158" i="1"/>
  <c r="M152" i="1"/>
  <c r="M139" i="1"/>
  <c r="M132" i="1"/>
  <c r="K119" i="1"/>
  <c r="K105" i="1"/>
  <c r="M97" i="1"/>
  <c r="M83" i="1"/>
  <c r="K70" i="1"/>
  <c r="M63" i="1"/>
  <c r="K56" i="1"/>
  <c r="M21" i="1"/>
  <c r="M14" i="1"/>
  <c r="M7" i="1"/>
  <c r="M231" i="1"/>
  <c r="K226" i="1"/>
  <c r="K220" i="1"/>
  <c r="K214" i="1"/>
  <c r="M190" i="1"/>
  <c r="K184" i="1"/>
  <c r="M177" i="1"/>
  <c r="K152" i="1"/>
  <c r="K146" i="1"/>
  <c r="M138" i="1"/>
  <c r="K125" i="1"/>
  <c r="M118" i="1"/>
  <c r="K111" i="1"/>
  <c r="M104" i="1"/>
  <c r="K91" i="1"/>
  <c r="M76" i="1"/>
  <c r="M69" i="1"/>
  <c r="M62" i="1"/>
  <c r="M55" i="1"/>
  <c r="K49" i="1"/>
  <c r="K42" i="1"/>
  <c r="K35" i="1"/>
  <c r="K28" i="1"/>
  <c r="M8" i="1"/>
  <c r="K14" i="1"/>
  <c r="M30" i="1"/>
  <c r="K36" i="1"/>
  <c r="M46" i="1"/>
  <c r="K52" i="1"/>
  <c r="K58" i="1"/>
  <c r="M68" i="1"/>
  <c r="K74" i="1"/>
  <c r="M84" i="1"/>
  <c r="M90" i="1"/>
  <c r="K96" i="1"/>
  <c r="M106" i="1"/>
  <c r="K112" i="1"/>
  <c r="M128" i="1"/>
  <c r="K134" i="1"/>
  <c r="M144" i="1"/>
  <c r="M149" i="1"/>
  <c r="M154" i="1"/>
  <c r="K160" i="1"/>
  <c r="K165" i="1"/>
  <c r="K170" i="1"/>
  <c r="K175" i="1"/>
  <c r="K180" i="1"/>
  <c r="K185" i="1"/>
  <c r="K190" i="1"/>
  <c r="M258" i="1"/>
  <c r="M246" i="1"/>
  <c r="K241" i="1"/>
  <c r="K229" i="1"/>
  <c r="M211" i="1"/>
  <c r="M205" i="1"/>
  <c r="K200" i="1"/>
  <c r="K194" i="1"/>
  <c r="K188" i="1"/>
  <c r="K162" i="1"/>
  <c r="K156" i="1"/>
  <c r="K149" i="1"/>
  <c r="K143" i="1"/>
  <c r="M135" i="1"/>
  <c r="M121" i="1"/>
  <c r="K108" i="1"/>
  <c r="M101" i="1"/>
  <c r="K94" i="1"/>
  <c r="K81" i="1"/>
  <c r="K67" i="1"/>
  <c r="M59" i="1"/>
  <c r="M45" i="1"/>
  <c r="K32" i="1"/>
  <c r="M25" i="1"/>
  <c r="K18" i="1"/>
  <c r="K252" i="1"/>
  <c r="M240" i="1"/>
  <c r="M234" i="1"/>
  <c r="M228" i="1"/>
  <c r="K223" i="1"/>
  <c r="K217" i="1"/>
  <c r="M193" i="1"/>
  <c r="K187" i="1"/>
  <c r="K181" i="1"/>
  <c r="K168" i="1"/>
  <c r="M161" i="1"/>
  <c r="M155" i="1"/>
  <c r="M148" i="1"/>
  <c r="M142" i="1"/>
  <c r="K129" i="1"/>
  <c r="M114" i="1"/>
  <c r="M107" i="1"/>
  <c r="M100" i="1"/>
  <c r="M93" i="1"/>
  <c r="K87" i="1"/>
  <c r="K80" i="1"/>
  <c r="K73" i="1"/>
  <c r="K66" i="1"/>
  <c r="K53" i="1"/>
  <c r="K38" i="1"/>
  <c r="M31" i="1"/>
  <c r="K24" i="1"/>
  <c r="M17" i="1"/>
  <c r="K11" i="1"/>
  <c r="K4" i="1"/>
  <c r="M251" i="1"/>
  <c r="K246" i="1"/>
  <c r="K234" i="1"/>
  <c r="M216" i="1"/>
  <c r="M210" i="1"/>
  <c r="K205" i="1"/>
  <c r="K199" i="1"/>
  <c r="M186" i="1"/>
  <c r="M180" i="1"/>
  <c r="K174" i="1"/>
  <c r="M167" i="1"/>
  <c r="K142" i="1"/>
  <c r="K135" i="1"/>
  <c r="K128" i="1"/>
  <c r="K121" i="1"/>
  <c r="M86" i="1"/>
  <c r="M79" i="1"/>
  <c r="M72" i="1"/>
  <c r="K59" i="1"/>
  <c r="K45" i="1"/>
  <c r="M37" i="1"/>
  <c r="M23" i="1"/>
  <c r="K10" i="1"/>
  <c r="M3" i="1"/>
  <c r="K258" i="1"/>
  <c r="M252" i="1"/>
  <c r="M247" i="1"/>
  <c r="M242" i="1"/>
  <c r="M237" i="1"/>
  <c r="M232" i="1"/>
  <c r="M227" i="1"/>
  <c r="M222" i="1"/>
  <c r="M217" i="1"/>
  <c r="M212" i="1"/>
  <c r="M207" i="1"/>
  <c r="M202" i="1"/>
  <c r="M197" i="1"/>
  <c r="M192" i="1"/>
  <c r="K137" i="1"/>
  <c r="K131" i="1"/>
  <c r="M125" i="1"/>
  <c r="K115" i="1"/>
  <c r="M109" i="1"/>
  <c r="K93" i="1"/>
  <c r="M87" i="1"/>
  <c r="K77" i="1"/>
  <c r="M71" i="1"/>
  <c r="M65" i="1"/>
  <c r="K55" i="1"/>
  <c r="M49" i="1"/>
  <c r="K39" i="1"/>
  <c r="K33" i="1"/>
  <c r="M27" i="1"/>
  <c r="K17" i="1"/>
  <c r="M11" i="1"/>
  <c r="M5" i="1"/>
  <c r="K15" i="1"/>
  <c r="M19" i="1"/>
  <c r="K29" i="1"/>
  <c r="M33" i="1"/>
  <c r="K43" i="1"/>
  <c r="M47" i="1"/>
  <c r="K57" i="1"/>
  <c r="M61" i="1"/>
  <c r="K71" i="1"/>
  <c r="M75" i="1"/>
  <c r="K85" i="1"/>
  <c r="M89" i="1"/>
  <c r="K99" i="1"/>
  <c r="M103" i="1"/>
  <c r="K113" i="1"/>
  <c r="M117" i="1"/>
  <c r="K127" i="1"/>
  <c r="M131" i="1"/>
  <c r="K141" i="1"/>
  <c r="M145" i="1"/>
  <c r="K155" i="1"/>
  <c r="M159" i="1"/>
  <c r="K169" i="1"/>
  <c r="M173" i="1"/>
  <c r="K183" i="1"/>
  <c r="M187" i="1"/>
  <c r="K197" i="1"/>
  <c r="M201" i="1"/>
  <c r="K211" i="1"/>
  <c r="M215" i="1"/>
  <c r="K225" i="1"/>
  <c r="M229" i="1"/>
  <c r="K239" i="1"/>
  <c r="M243" i="1"/>
  <c r="K253" i="1"/>
  <c r="M257" i="1"/>
  <c r="K6" i="1"/>
  <c r="M10" i="1"/>
  <c r="K20" i="1"/>
  <c r="M24" i="1"/>
  <c r="K34" i="1"/>
  <c r="M38" i="1"/>
  <c r="K48" i="1"/>
  <c r="M52" i="1"/>
  <c r="K62" i="1"/>
  <c r="M66" i="1"/>
  <c r="K76" i="1"/>
  <c r="M80" i="1"/>
  <c r="K90" i="1"/>
  <c r="M94" i="1"/>
  <c r="K104" i="1"/>
  <c r="M108" i="1"/>
  <c r="K118" i="1"/>
  <c r="M122" i="1"/>
  <c r="K132" i="1"/>
  <c r="M136" i="1"/>
  <c r="K255" i="1"/>
  <c r="K250" i="1"/>
  <c r="K245" i="1"/>
  <c r="K240" i="1"/>
  <c r="K235" i="1"/>
  <c r="K230" i="1"/>
  <c r="M224" i="1"/>
  <c r="M219" i="1"/>
  <c r="M214" i="1"/>
  <c r="M209" i="1"/>
  <c r="M204" i="1"/>
  <c r="M199" i="1"/>
  <c r="M194" i="1"/>
  <c r="M189" i="1"/>
  <c r="M184" i="1"/>
  <c r="M179" i="1"/>
  <c r="M174" i="1"/>
  <c r="M169" i="1"/>
  <c r="M164" i="1"/>
  <c r="K139" i="1"/>
  <c r="M133" i="1"/>
  <c r="K123" i="1"/>
  <c r="K117" i="1"/>
  <c r="M111" i="1"/>
  <c r="K101" i="1"/>
  <c r="M95" i="1"/>
  <c r="K79" i="1"/>
  <c r="M73" i="1"/>
  <c r="K63" i="1"/>
  <c r="M57" i="1"/>
  <c r="M51" i="1"/>
  <c r="K41" i="1"/>
  <c r="M35" i="1"/>
  <c r="K25" i="1"/>
  <c r="K19" i="1"/>
  <c r="M13" i="1"/>
  <c r="K3" i="1"/>
  <c r="K2" i="1"/>
  <c r="M2" i="1"/>
  <c r="D15" i="1"/>
  <c r="D109" i="1"/>
  <c r="D167" i="1"/>
  <c r="D13" i="1"/>
  <c r="D42" i="1"/>
  <c r="D22" i="1"/>
  <c r="D66" i="1"/>
  <c r="D65" i="1"/>
  <c r="D56" i="1"/>
  <c r="D251" i="1"/>
  <c r="D233" i="1"/>
  <c r="D211" i="1"/>
  <c r="D193" i="1"/>
  <c r="D175" i="1"/>
  <c r="D153" i="1"/>
  <c r="D135" i="1"/>
  <c r="D112" i="1"/>
  <c r="D93" i="1"/>
  <c r="D69" i="1"/>
  <c r="D50" i="1"/>
  <c r="D26" i="1"/>
  <c r="D250" i="1"/>
  <c r="D232" i="1"/>
  <c r="D210" i="1"/>
  <c r="D192" i="1"/>
  <c r="D170" i="1"/>
  <c r="D152" i="1"/>
  <c r="D134" i="1"/>
  <c r="D111" i="1"/>
  <c r="D92" i="1"/>
  <c r="D68" i="1"/>
  <c r="D44" i="1"/>
  <c r="D25" i="1"/>
  <c r="D249" i="1"/>
  <c r="D231" i="1"/>
  <c r="D209" i="1"/>
  <c r="D191" i="1"/>
  <c r="D169" i="1"/>
  <c r="D151" i="1"/>
  <c r="D133" i="1"/>
  <c r="D110" i="1"/>
  <c r="D86" i="1"/>
  <c r="D67" i="1"/>
  <c r="D43" i="1"/>
  <c r="D24" i="1"/>
  <c r="D248" i="1"/>
  <c r="D208" i="1"/>
  <c r="D168" i="1"/>
  <c r="D128" i="1"/>
  <c r="D85" i="1"/>
  <c r="D23" i="1"/>
  <c r="D247" i="1"/>
  <c r="D207" i="1"/>
  <c r="D189" i="1"/>
  <c r="D149" i="1"/>
  <c r="D127" i="1"/>
  <c r="D108" i="1"/>
  <c r="D84" i="1"/>
  <c r="D41" i="1"/>
  <c r="D246" i="1"/>
  <c r="D224" i="1"/>
  <c r="D184" i="1"/>
  <c r="D148" i="1"/>
  <c r="D107" i="1"/>
  <c r="D83" i="1"/>
  <c r="D64" i="1"/>
  <c r="D16" i="1"/>
  <c r="D223" i="1"/>
  <c r="D183" i="1"/>
  <c r="D165" i="1"/>
  <c r="D125" i="1"/>
  <c r="D106" i="1"/>
  <c r="D82" i="1"/>
  <c r="D58" i="1"/>
  <c r="D39" i="1"/>
  <c r="D222" i="1"/>
  <c r="D164" i="1"/>
  <c r="D142" i="1"/>
  <c r="D100" i="1"/>
  <c r="D81" i="1"/>
  <c r="D57" i="1"/>
  <c r="D38" i="1"/>
  <c r="D226" i="1"/>
  <c r="D190" i="1"/>
  <c r="D150" i="1"/>
  <c r="D225" i="1"/>
  <c r="D206" i="1"/>
  <c r="D166" i="1"/>
  <c r="D126" i="1"/>
  <c r="D40" i="1"/>
  <c r="D245" i="1"/>
  <c r="D205" i="1"/>
  <c r="D147" i="1"/>
  <c r="D2" i="1"/>
  <c r="D3" i="1"/>
  <c r="D17" i="1"/>
  <c r="D31" i="1"/>
  <c r="D45" i="1"/>
  <c r="D59" i="1"/>
  <c r="D73" i="1"/>
  <c r="D87" i="1"/>
  <c r="D101" i="1"/>
  <c r="D115" i="1"/>
  <c r="D129" i="1"/>
  <c r="D143" i="1"/>
  <c r="D157" i="1"/>
  <c r="D171" i="1"/>
  <c r="D185" i="1"/>
  <c r="D199" i="1"/>
  <c r="D213" i="1"/>
  <c r="D227" i="1"/>
  <c r="D241" i="1"/>
  <c r="D255" i="1"/>
  <c r="D4" i="1"/>
  <c r="D18" i="1"/>
  <c r="D32" i="1"/>
  <c r="D46" i="1"/>
  <c r="D60" i="1"/>
  <c r="D74" i="1"/>
  <c r="D88" i="1"/>
  <c r="D102" i="1"/>
  <c r="D116" i="1"/>
  <c r="D130" i="1"/>
  <c r="D144" i="1"/>
  <c r="D158" i="1"/>
  <c r="D172" i="1"/>
  <c r="D186" i="1"/>
  <c r="D200" i="1"/>
  <c r="D214" i="1"/>
  <c r="D228" i="1"/>
  <c r="D242" i="1"/>
  <c r="D256" i="1"/>
  <c r="D5" i="1"/>
  <c r="D19" i="1"/>
  <c r="D33" i="1"/>
  <c r="D47" i="1"/>
  <c r="D61" i="1"/>
  <c r="D75" i="1"/>
  <c r="D89" i="1"/>
  <c r="D103" i="1"/>
  <c r="D117" i="1"/>
  <c r="D131" i="1"/>
  <c r="D145" i="1"/>
  <c r="D159" i="1"/>
  <c r="D173" i="1"/>
  <c r="D187" i="1"/>
  <c r="D201" i="1"/>
  <c r="D215" i="1"/>
  <c r="D229" i="1"/>
  <c r="D243" i="1"/>
  <c r="D257" i="1"/>
  <c r="D6" i="1"/>
  <c r="D20" i="1"/>
  <c r="D34" i="1"/>
  <c r="D48" i="1"/>
  <c r="D62" i="1"/>
  <c r="D76" i="1"/>
  <c r="D90" i="1"/>
  <c r="D104" i="1"/>
  <c r="D118" i="1"/>
  <c r="D132" i="1"/>
  <c r="D146" i="1"/>
  <c r="D160" i="1"/>
  <c r="D174" i="1"/>
  <c r="D188" i="1"/>
  <c r="D202" i="1"/>
  <c r="D216" i="1"/>
  <c r="D230" i="1"/>
  <c r="D244" i="1"/>
  <c r="D258" i="1"/>
  <c r="D7" i="1"/>
  <c r="D21" i="1"/>
  <c r="D35" i="1"/>
  <c r="D49" i="1"/>
  <c r="D63" i="1"/>
  <c r="D77" i="1"/>
  <c r="D91" i="1"/>
  <c r="D105" i="1"/>
  <c r="D119" i="1"/>
  <c r="D240" i="1"/>
  <c r="D204" i="1"/>
  <c r="D182" i="1"/>
  <c r="D124" i="1"/>
  <c r="D14" i="1"/>
  <c r="D239" i="1"/>
  <c r="D221" i="1"/>
  <c r="D203" i="1"/>
  <c r="D181" i="1"/>
  <c r="D163" i="1"/>
  <c r="D141" i="1"/>
  <c r="D123" i="1"/>
  <c r="D99" i="1"/>
  <c r="D80" i="1"/>
  <c r="D37" i="1"/>
  <c r="D238" i="1"/>
  <c r="D220" i="1"/>
  <c r="D198" i="1"/>
  <c r="D180" i="1"/>
  <c r="D162" i="1"/>
  <c r="D140" i="1"/>
  <c r="D122" i="1"/>
  <c r="D98" i="1"/>
  <c r="D79" i="1"/>
  <c r="D55" i="1"/>
  <c r="D36" i="1"/>
  <c r="D12" i="1"/>
  <c r="D237" i="1"/>
  <c r="D219" i="1"/>
  <c r="D197" i="1"/>
  <c r="D179" i="1"/>
  <c r="D161" i="1"/>
  <c r="D139" i="1"/>
  <c r="D121" i="1"/>
  <c r="D97" i="1"/>
  <c r="D78" i="1"/>
  <c r="D54" i="1"/>
  <c r="D30" i="1"/>
  <c r="D11" i="1"/>
  <c r="D254" i="1"/>
  <c r="D236" i="1"/>
  <c r="D218" i="1"/>
  <c r="D196" i="1"/>
  <c r="D178" i="1"/>
  <c r="D156" i="1"/>
  <c r="D138" i="1"/>
  <c r="D120" i="1"/>
  <c r="D96" i="1"/>
  <c r="D72" i="1"/>
  <c r="D53" i="1"/>
  <c r="D29" i="1"/>
  <c r="D10" i="1"/>
  <c r="D253" i="1"/>
  <c r="D235" i="1"/>
  <c r="D217" i="1"/>
  <c r="D195" i="1"/>
  <c r="D177" i="1"/>
  <c r="D155" i="1"/>
  <c r="D137" i="1"/>
  <c r="D114" i="1"/>
  <c r="D95" i="1"/>
  <c r="D71" i="1"/>
  <c r="D52" i="1"/>
  <c r="D28" i="1"/>
  <c r="D9" i="1"/>
  <c r="D252" i="1"/>
  <c r="D234" i="1"/>
  <c r="D212" i="1"/>
  <c r="D194" i="1"/>
  <c r="D176" i="1"/>
  <c r="D154" i="1"/>
  <c r="D136" i="1"/>
  <c r="D113" i="1"/>
  <c r="D94" i="1"/>
  <c r="D70" i="1"/>
  <c r="D51" i="1"/>
  <c r="D27" i="1"/>
  <c r="D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tc={27D9FD59-43A5-4CF9-B2A8-D9039687D23E}</author>
  </authors>
  <commentList>
    <comment ref="F33" authorId="0" shapeId="0" xr:uid="{27D9FD59-43A5-4CF9-B2A8-D9039687D23E}">
      <text>
        <t>[Threaded comment]
Your version of Excel allows you to read this threaded comment; however, any edits to it will get removed if the file is opened in a newer version of Excel. Learn more: https://go.microsoft.com/fwlink/?linkid=870924
Comment:
    @nuthana.s@meesho.com 
Please check
Assigned to nuthana.s@meesho.com</t>
      </text>
    </comment>
  </commentList>
</comments>
</file>

<file path=xl/sharedStrings.xml><?xml version="1.0" encoding="utf-8"?>
<sst xmlns="http://schemas.openxmlformats.org/spreadsheetml/2006/main" count="1537" uniqueCount="585">
  <si>
    <t>#</t>
  </si>
  <si>
    <t>LOCATION CODE</t>
  </si>
  <si>
    <t>ZONE</t>
  </si>
  <si>
    <t>TYPE</t>
  </si>
  <si>
    <t>RH</t>
  </si>
  <si>
    <t>CH</t>
  </si>
  <si>
    <t>AM1 NAME</t>
  </si>
  <si>
    <t>AM1 MOBILE</t>
  </si>
  <si>
    <t>AM2 NAME</t>
  </si>
  <si>
    <t>AM2 MOBILE</t>
  </si>
  <si>
    <t>PARTNER 1</t>
  </si>
  <si>
    <t>P1 MOBILE</t>
  </si>
  <si>
    <t>PARTNER 2</t>
  </si>
  <si>
    <t>P2 MOBILE</t>
  </si>
  <si>
    <t>AHS</t>
  </si>
  <si>
    <t>BLS</t>
  </si>
  <si>
    <t>HBS</t>
  </si>
  <si>
    <t>BWS</t>
  </si>
  <si>
    <t>MIS</t>
  </si>
  <si>
    <t>BHS</t>
  </si>
  <si>
    <t>BUS</t>
  </si>
  <si>
    <t>BBS</t>
  </si>
  <si>
    <t>MRS</t>
  </si>
  <si>
    <t>DSS</t>
  </si>
  <si>
    <t>BMS</t>
  </si>
  <si>
    <t>LOS</t>
  </si>
  <si>
    <t>DHS</t>
  </si>
  <si>
    <t>FRS</t>
  </si>
  <si>
    <t>DLS</t>
  </si>
  <si>
    <t>GAS</t>
  </si>
  <si>
    <t>GUS</t>
  </si>
  <si>
    <t>DGS1</t>
  </si>
  <si>
    <t>TVNS</t>
  </si>
  <si>
    <t>GPS</t>
  </si>
  <si>
    <t>GHS</t>
  </si>
  <si>
    <t>DBS</t>
  </si>
  <si>
    <t>FKS</t>
  </si>
  <si>
    <t>HGS</t>
  </si>
  <si>
    <t>HYS</t>
  </si>
  <si>
    <t>JBS</t>
  </si>
  <si>
    <t>JAS</t>
  </si>
  <si>
    <t>JPS</t>
  </si>
  <si>
    <t>JIS</t>
  </si>
  <si>
    <t>JUS</t>
  </si>
  <si>
    <t>JJS</t>
  </si>
  <si>
    <t>KBS</t>
  </si>
  <si>
    <t>KYS</t>
  </si>
  <si>
    <t>KOS</t>
  </si>
  <si>
    <t>LKS</t>
  </si>
  <si>
    <t>VSS</t>
  </si>
  <si>
    <t>LUS</t>
  </si>
  <si>
    <t>LAS</t>
  </si>
  <si>
    <t>DCS</t>
  </si>
  <si>
    <t>NNS</t>
  </si>
  <si>
    <t>PTS</t>
  </si>
  <si>
    <t>PES</t>
  </si>
  <si>
    <t>NUS</t>
  </si>
  <si>
    <t>RKS</t>
  </si>
  <si>
    <t>RNS</t>
  </si>
  <si>
    <t>SYS</t>
  </si>
  <si>
    <t>GVS</t>
  </si>
  <si>
    <t>SLS</t>
  </si>
  <si>
    <t>AOS</t>
  </si>
  <si>
    <t>SPS</t>
  </si>
  <si>
    <t>SHS</t>
  </si>
  <si>
    <t>SUS</t>
  </si>
  <si>
    <t>SCS</t>
  </si>
  <si>
    <t>SBS</t>
  </si>
  <si>
    <t>SES</t>
  </si>
  <si>
    <t>VWS</t>
  </si>
  <si>
    <t>VZS</t>
  </si>
  <si>
    <t>NCRS</t>
  </si>
  <si>
    <t>EUS</t>
  </si>
  <si>
    <t>HJS</t>
  </si>
  <si>
    <t>GTS</t>
  </si>
  <si>
    <t>RPS</t>
  </si>
  <si>
    <t>RWS</t>
  </si>
  <si>
    <t>PYS</t>
  </si>
  <si>
    <t>INS</t>
  </si>
  <si>
    <t>HWS</t>
  </si>
  <si>
    <t>SU8S</t>
  </si>
  <si>
    <t>SU9S</t>
  </si>
  <si>
    <t>JTS</t>
  </si>
  <si>
    <t>S10S</t>
  </si>
  <si>
    <t>HUS</t>
  </si>
  <si>
    <t>POS</t>
  </si>
  <si>
    <t>LDNS</t>
  </si>
  <si>
    <t>CTS</t>
  </si>
  <si>
    <t>CFS</t>
  </si>
  <si>
    <t>A2S</t>
  </si>
  <si>
    <t>HTS</t>
  </si>
  <si>
    <t>LCS</t>
  </si>
  <si>
    <t>CYS</t>
  </si>
  <si>
    <t>CIS</t>
  </si>
  <si>
    <t>IMS</t>
  </si>
  <si>
    <t>RFS</t>
  </si>
  <si>
    <t>JFS</t>
  </si>
  <si>
    <t>JVS</t>
  </si>
  <si>
    <t>RRS</t>
  </si>
  <si>
    <t>PVS</t>
  </si>
  <si>
    <t>RTS</t>
  </si>
  <si>
    <t>FUS</t>
  </si>
  <si>
    <t>SU7S</t>
  </si>
  <si>
    <t>NKS</t>
  </si>
  <si>
    <t>SGS1</t>
  </si>
  <si>
    <t>SNPS</t>
  </si>
  <si>
    <t>AGRS</t>
  </si>
  <si>
    <t>HYDS</t>
  </si>
  <si>
    <t>DGS2</t>
  </si>
  <si>
    <t>FRDS</t>
  </si>
  <si>
    <t>BLRS</t>
  </si>
  <si>
    <t>HBLS</t>
  </si>
  <si>
    <t>S11S</t>
  </si>
  <si>
    <t>SGRS</t>
  </si>
  <si>
    <t>HGS1</t>
  </si>
  <si>
    <t>KLPS</t>
  </si>
  <si>
    <t>D15S</t>
  </si>
  <si>
    <t>D16S</t>
  </si>
  <si>
    <t>LKFS</t>
  </si>
  <si>
    <t>S12S</t>
  </si>
  <si>
    <t>BGUS</t>
  </si>
  <si>
    <t>ZPS</t>
  </si>
  <si>
    <t>JGS1</t>
  </si>
  <si>
    <t>PTNS</t>
  </si>
  <si>
    <t>IDRS</t>
  </si>
  <si>
    <t>VJWS</t>
  </si>
  <si>
    <t>MZPS</t>
  </si>
  <si>
    <t>MERS</t>
  </si>
  <si>
    <t>H2LS</t>
  </si>
  <si>
    <t>RJKS</t>
  </si>
  <si>
    <t>IXRS</t>
  </si>
  <si>
    <t>D17S</t>
  </si>
  <si>
    <t>D20S</t>
  </si>
  <si>
    <t>J6FS</t>
  </si>
  <si>
    <t>J3LS</t>
  </si>
  <si>
    <t>D14S</t>
  </si>
  <si>
    <t>M2LS</t>
  </si>
  <si>
    <t>D19S</t>
  </si>
  <si>
    <t>AG2S</t>
  </si>
  <si>
    <t>D4LS</t>
  </si>
  <si>
    <t>D18S</t>
  </si>
  <si>
    <t>S2LS</t>
  </si>
  <si>
    <t>K3FS</t>
  </si>
  <si>
    <t>K3LS</t>
  </si>
  <si>
    <t>KGS1</t>
  </si>
  <si>
    <t>BBNS</t>
  </si>
  <si>
    <t>DGS3</t>
  </si>
  <si>
    <t>DGS4</t>
  </si>
  <si>
    <t>BLFS</t>
  </si>
  <si>
    <t>GWLS</t>
  </si>
  <si>
    <t>S13S</t>
  </si>
  <si>
    <t>PRGS</t>
  </si>
  <si>
    <t>SGS3</t>
  </si>
  <si>
    <t>VRNS</t>
  </si>
  <si>
    <t>D6LS</t>
  </si>
  <si>
    <t>SGS2</t>
  </si>
  <si>
    <t>D5LS</t>
  </si>
  <si>
    <t>KDPS</t>
  </si>
  <si>
    <t>SULS</t>
  </si>
  <si>
    <t>JGS2</t>
  </si>
  <si>
    <t>L3LS</t>
  </si>
  <si>
    <t>BDRS</t>
  </si>
  <si>
    <t>P3LS</t>
  </si>
  <si>
    <t>DGS5</t>
  </si>
  <si>
    <t>S14S</t>
  </si>
  <si>
    <t>H4LS</t>
  </si>
  <si>
    <t>PNDS</t>
  </si>
  <si>
    <t>DGS6</t>
  </si>
  <si>
    <t>KOCS</t>
  </si>
  <si>
    <t>S15S</t>
  </si>
  <si>
    <t>D13S</t>
  </si>
  <si>
    <t>CBTS</t>
  </si>
  <si>
    <t>BGS1</t>
  </si>
  <si>
    <t>LD4S</t>
  </si>
  <si>
    <t>TSYS</t>
  </si>
  <si>
    <t>M2FS</t>
  </si>
  <si>
    <t>DGS7</t>
  </si>
  <si>
    <t>D21S</t>
  </si>
  <si>
    <t>LGS1</t>
  </si>
  <si>
    <t>AGFS</t>
  </si>
  <si>
    <t>SGS4</t>
  </si>
  <si>
    <t>RAAS</t>
  </si>
  <si>
    <t>PGS1</t>
  </si>
  <si>
    <t>NGS1</t>
  </si>
  <si>
    <t>AGS1</t>
  </si>
  <si>
    <t>BH1S</t>
  </si>
  <si>
    <t>K4LS</t>
  </si>
  <si>
    <t>J7FS</t>
  </si>
  <si>
    <t>INDS</t>
  </si>
  <si>
    <t>BWLS</t>
  </si>
  <si>
    <t>West</t>
  </si>
  <si>
    <t>South</t>
  </si>
  <si>
    <t>East</t>
  </si>
  <si>
    <t>North</t>
  </si>
  <si>
    <t>tushar.dongare@meesho.com</t>
  </si>
  <si>
    <t>vikrant.pandey@meesho.com</t>
  </si>
  <si>
    <t>ajit.vedak@meesho.com</t>
  </si>
  <si>
    <t>banit.roy@meesho.com</t>
  </si>
  <si>
    <t>prince.shukla@meesho.com</t>
  </si>
  <si>
    <t>dhirender.deswal@meesho.com</t>
  </si>
  <si>
    <t>tushar.sharma@meesho.com</t>
  </si>
  <si>
    <t>siddharth.chhibber@meesho.com</t>
  </si>
  <si>
    <t>Sujesh.s@meesho.com</t>
  </si>
  <si>
    <t>chamar.munda1@meesho.com</t>
  </si>
  <si>
    <t>Suresh.behera@meesho.com</t>
  </si>
  <si>
    <t>abhishek.mhamunkar@meesho.com/manohar.singh@meesho.com</t>
  </si>
  <si>
    <t>axendra.chouhan@meesho.com</t>
  </si>
  <si>
    <t>deepak.pradhan@meesho.com</t>
  </si>
  <si>
    <t>praveenkumar.h@meesho.com</t>
  </si>
  <si>
    <t>ashish.sharma2@meesho.com</t>
  </si>
  <si>
    <t>rahul.mishra3@meesho.com</t>
  </si>
  <si>
    <t>prince.sharma@meesho.com</t>
  </si>
  <si>
    <t>keshav.jee@meesho.com</t>
  </si>
  <si>
    <t>alan.martin@meesho.com</t>
  </si>
  <si>
    <t>vishnu.mishra1@meesho.com</t>
  </si>
  <si>
    <t>akshit.ahuja@meesho.com</t>
  </si>
  <si>
    <t>suraj.kumar2@meesho.com</t>
  </si>
  <si>
    <t>suren.hazarika@meesho.com</t>
  </si>
  <si>
    <t>anupam.bal@meesho.com</t>
  </si>
  <si>
    <t>Pavan.kumar1@meesho.com</t>
  </si>
  <si>
    <t>vikram.rathore1@meesho.com</t>
  </si>
  <si>
    <t>indu.bala@meesho.com</t>
  </si>
  <si>
    <t>suraj.chaturvedi1@meesho.com</t>
  </si>
  <si>
    <t>joseph.cherian@meesho.com</t>
  </si>
  <si>
    <t>sourav.mishra@meesho.com</t>
  </si>
  <si>
    <t>mukesh.singh@meesho.com</t>
  </si>
  <si>
    <t>vaibhav.bhadake1@meesho.com</t>
  </si>
  <si>
    <t>himanshu.kumar2@meesho.com</t>
  </si>
  <si>
    <t>nilesh.parbhane@meesho.com</t>
  </si>
  <si>
    <t>rohit.kakade@meesho.com</t>
  </si>
  <si>
    <t>pradip.kumar@meesho.com</t>
  </si>
  <si>
    <t>navneet.kumar1@meesho.com</t>
  </si>
  <si>
    <t>mukesh.patil@meesho.com</t>
  </si>
  <si>
    <t>pankaj.tripathi@meesho.com</t>
  </si>
  <si>
    <t>Sudhir.singh@meesho.com</t>
  </si>
  <si>
    <t>santosh.soni@meesho.com</t>
  </si>
  <si>
    <t>Kuruba.ravi@meesho.com</t>
  </si>
  <si>
    <t>karthik.gunasekaran@meesho.com</t>
  </si>
  <si>
    <t>sandeep.kushwaha@meesho.com</t>
  </si>
  <si>
    <t>kranti.chouhan@meesho.com</t>
  </si>
  <si>
    <t>abhishek.mhamunkar@meesho.com</t>
  </si>
  <si>
    <t>ranjit@meesho.com</t>
  </si>
  <si>
    <t>mallikharjun@meesho.com</t>
  </si>
  <si>
    <t>suresh.kannan@meesho.com</t>
  </si>
  <si>
    <t>ravi.pathak@meesho.com</t>
  </si>
  <si>
    <t>navin.kumar@meesho.com</t>
  </si>
  <si>
    <t>jatinderpreet.kaur@meesho.com</t>
  </si>
  <si>
    <t>vijay.sharma1@meesho.com</t>
  </si>
  <si>
    <t>kuruba.ravi@meesho.com</t>
  </si>
  <si>
    <t>lokhnade.prakash@meesho.com</t>
  </si>
  <si>
    <t xml:space="preserve"> shivraj.a@meesho.com</t>
  </si>
  <si>
    <t>kishor.kl@meesho.com</t>
  </si>
  <si>
    <t>awwab.kirme@meesho.com</t>
  </si>
  <si>
    <t>amar.pansare@meesho.com</t>
  </si>
  <si>
    <t>deepak.sharma3@meesho.com</t>
  </si>
  <si>
    <t>chandan.goswami@meesho.com</t>
  </si>
  <si>
    <t>puspadhwaja.hans@meesho.com</t>
  </si>
  <si>
    <t>bhavani.n@meesho.com</t>
  </si>
  <si>
    <t>surya.pratap@meesho.com</t>
  </si>
  <si>
    <t>ashish.kumar4@meesho.com</t>
  </si>
  <si>
    <t>Kuldeep.kumar2@meesho.com</t>
  </si>
  <si>
    <t>bajendra.rauta@meesho.com</t>
  </si>
  <si>
    <t>rohit.dubey@meesho.com</t>
  </si>
  <si>
    <r>
      <rPr>
        <u/>
        <sz val="9"/>
        <color rgb="FF1155CC"/>
        <rFont val="Lexend"/>
      </rPr>
      <t>sombir@meesho.com</t>
    </r>
  </si>
  <si>
    <t>rajesh.yadav@meesho.com</t>
  </si>
  <si>
    <t>satrughan.chourasia@meesho.com</t>
  </si>
  <si>
    <t>deepjyoti.talukdar@meesho.com</t>
  </si>
  <si>
    <t>surya.das@meesho.com</t>
  </si>
  <si>
    <t>indu@meesho.com</t>
  </si>
  <si>
    <t>barun.santra@meesho.com</t>
  </si>
  <si>
    <t>yerrabonia.kumar@meesho.com</t>
  </si>
  <si>
    <t>gaurav.tayade@meesho.com</t>
  </si>
  <si>
    <t>dushyant.kumar@meesho.com</t>
  </si>
  <si>
    <t>piyush.singh@meesho.com</t>
  </si>
  <si>
    <t>sonu.bairwa@meesho.com</t>
  </si>
  <si>
    <t>sourabh.sain@meesho.com</t>
  </si>
  <si>
    <t>amrendra.singh@meesho.com</t>
  </si>
  <si>
    <t>pritam.ghosh@meesho.com</t>
  </si>
  <si>
    <t>aman.mishra@meesho.com</t>
  </si>
  <si>
    <t>ramnaresh.dwivedi@meesho.com</t>
  </si>
  <si>
    <t>arwinder.singh@meesho.com</t>
  </si>
  <si>
    <t>arun.prasher@meesho.com</t>
  </si>
  <si>
    <t>bhupender@meesho.com</t>
  </si>
  <si>
    <t>vivek.kaware@meesho.com</t>
  </si>
  <si>
    <t>ravi.ranjan1@meesho.com</t>
  </si>
  <si>
    <t>sudeep.pandey@meesho.com</t>
  </si>
  <si>
    <t>kumar.sourav@meesho.com</t>
  </si>
  <si>
    <t>debajit.nath@meesho.com</t>
  </si>
  <si>
    <t>hirakjyoti.sarma@meesho.com</t>
  </si>
  <si>
    <t>soubhik.sarkar@meesho.com</t>
  </si>
  <si>
    <t>anuj.kumar2@meesho.com</t>
  </si>
  <si>
    <t>kishan.singh@meesho.com</t>
  </si>
  <si>
    <t>shubham.mishra2@meesho.com</t>
  </si>
  <si>
    <t>shubham.kumar3@meesho.com</t>
  </si>
  <si>
    <t>rahul.borude@meesho.com</t>
  </si>
  <si>
    <t>jadav.kiran@meesho.com</t>
  </si>
  <si>
    <t>akshaykumar.patel@meesho.com</t>
  </si>
  <si>
    <t>pagolu.kumar@meesho.com</t>
  </si>
  <si>
    <t>padmanabi.rakesh@meesho.com</t>
  </si>
  <si>
    <t>tarun.kumar2@meesho.com</t>
  </si>
  <si>
    <t>mohd.juvair@meesho.com</t>
  </si>
  <si>
    <t>adarsh.kumar1@meesho.com</t>
  </si>
  <si>
    <t>rakesh.kumar3@meesho.com</t>
  </si>
  <si>
    <t>ramesh.hatile@meesho.com</t>
  </si>
  <si>
    <t>samirul.sk@meesho.com</t>
  </si>
  <si>
    <t>rekha.shinde@meesho.com</t>
  </si>
  <si>
    <t>raj.yadav@meesho.com</t>
  </si>
  <si>
    <t>arindam.dutta@meesho.com</t>
  </si>
  <si>
    <t>vasiya.manjibhai@meesho.com</t>
  </si>
  <si>
    <t>yash.singh2@meesho.com</t>
  </si>
  <si>
    <t>mahaveer.sharma@meesho.com</t>
  </si>
  <si>
    <t>ajay.kumar4@meesho.com</t>
  </si>
  <si>
    <t>manish1@meesho.com</t>
  </si>
  <si>
    <t>satyanarayana.kumar@meesho.com</t>
  </si>
  <si>
    <t xml:space="preserve">malarvannan.v@meesho.com </t>
  </si>
  <si>
    <t>riyaskhan@meesho.com</t>
  </si>
  <si>
    <t>sandip.pandit@meesho.com</t>
  </si>
  <si>
    <t>Akash.singh4@meesho.com</t>
  </si>
  <si>
    <t>ashokkumar.vellingiri@meesho.com</t>
  </si>
  <si>
    <t>sathish.venkatesh@meesho.com</t>
  </si>
  <si>
    <r>
      <rPr>
        <sz val="9"/>
        <color rgb="FF000000"/>
        <rFont val="Lexend"/>
      </rPr>
      <t>mohammed.gr</t>
    </r>
    <r>
      <rPr>
        <sz val="9"/>
        <color theme="1"/>
        <rFont val="Lexend"/>
      </rPr>
      <t>@meesho.com</t>
    </r>
  </si>
  <si>
    <t>chavda.ashokbhai@meesho.com</t>
  </si>
  <si>
    <t>ramavtar.mourya@meesho.com</t>
  </si>
  <si>
    <t>sekhar.pandey@meesho.com</t>
  </si>
  <si>
    <t>jay.singh@meesho.com</t>
  </si>
  <si>
    <t>sandipkumar.saravaiya@meesho.com</t>
  </si>
  <si>
    <t>arvind.chauhan@meesho.com</t>
  </si>
  <si>
    <t>pravin.mali@meesho.com</t>
  </si>
  <si>
    <t>hemant.kumbharde@meesho.com</t>
  </si>
  <si>
    <t>shubham.tiwari@meesho.com</t>
  </si>
  <si>
    <t>kuldeep.kumar1@meesho.com</t>
  </si>
  <si>
    <t>karan.singh1@meesho.com</t>
  </si>
  <si>
    <t>pokkula.sathish@meesho.com</t>
  </si>
  <si>
    <t>sunil@meesho.com</t>
  </si>
  <si>
    <t>kuldeep.kumar@meesho.com</t>
  </si>
  <si>
    <t>abhishek.anand@meesho.com</t>
  </si>
  <si>
    <t>Shivakumar.c@meesho.com</t>
  </si>
  <si>
    <t>pawar.sunil@meesho.com</t>
  </si>
  <si>
    <t>shriyansh.sen@meesho.com</t>
  </si>
  <si>
    <t>Rajesh J</t>
  </si>
  <si>
    <t>dipak.korde@meesho.com</t>
  </si>
  <si>
    <t>Kanish@meesho.com</t>
  </si>
  <si>
    <t>mayank.kumar1@meesho.com</t>
  </si>
  <si>
    <t>lavkush.tiwari@meesho.com</t>
  </si>
  <si>
    <t>nitin.patil@meesho.com</t>
  </si>
  <si>
    <t>mahaveer.kumawat@meesho.com</t>
  </si>
  <si>
    <t>kamal1@meesho.com</t>
  </si>
  <si>
    <t>krishan.kumar1@meesho.com</t>
  </si>
  <si>
    <t>aalok.kumar@meesho.com</t>
  </si>
  <si>
    <t>raj.kumar@meesho.com</t>
  </si>
  <si>
    <t xml:space="preserve">somula.pranathi@meesho.com </t>
  </si>
  <si>
    <t>chunchun.kumar@meesho.com</t>
  </si>
  <si>
    <t>lokesh.sharma1@meesho.com</t>
  </si>
  <si>
    <t>pilla.dilipkumar@meesho.com</t>
  </si>
  <si>
    <t>rahulkumar.singh@meesho.com</t>
  </si>
  <si>
    <t>sushil.maharana@meesho.com</t>
  </si>
  <si>
    <t xml:space="preserve">Rinku.Kumar@meesho.com </t>
  </si>
  <si>
    <t>kapil.gurjar@meesho.com</t>
  </si>
  <si>
    <t>ravinder@meesho.com</t>
  </si>
  <si>
    <t>devraj@meesho.com</t>
  </si>
  <si>
    <t>amit.jadhav@meesho.com</t>
  </si>
  <si>
    <t>mohit.sharma@meesho.com</t>
  </si>
  <si>
    <t>sanjay.kumar1@meesho.com</t>
  </si>
  <si>
    <t>ankit.singh2@meesho.com</t>
  </si>
  <si>
    <t>vipin.kumar@meesho.com</t>
  </si>
  <si>
    <t>prodip.barman@meesho.com</t>
  </si>
  <si>
    <t>kushal.sardar@meesho.com</t>
  </si>
  <si>
    <t>sourav.purkait@meesho.com</t>
  </si>
  <si>
    <r>
      <rPr>
        <u/>
        <sz val="9"/>
        <color rgb="FF1155CC"/>
        <rFont val="Lexend"/>
      </rPr>
      <t>pradip</t>
    </r>
    <r>
      <rPr>
        <u/>
        <sz val="9"/>
        <color rgb="FF1155CC"/>
        <rFont val="Lexend"/>
      </rPr>
      <t>.</t>
    </r>
    <r>
      <rPr>
        <sz val="9"/>
        <rFont val="Lexend"/>
      </rPr>
      <t>bhoi@meesho.com</t>
    </r>
  </si>
  <si>
    <t>rohit.bhati@meesho.com</t>
  </si>
  <si>
    <t>mohit.sharma1@meesho.com</t>
  </si>
  <si>
    <t>soumya.sudhakaran@meesho.com</t>
  </si>
  <si>
    <t>rajneesh.singh@meesho.com</t>
  </si>
  <si>
    <t>trilochan@meesho.com</t>
  </si>
  <si>
    <t>hemant.singh@meesho.com</t>
  </si>
  <si>
    <t>arun.shilpkar@meesho.com</t>
  </si>
  <si>
    <t>hariom.singh@meesho.com</t>
  </si>
  <si>
    <t>shivam.soni@meesho.com</t>
  </si>
  <si>
    <t>chandan.rana@meesho.com</t>
  </si>
  <si>
    <t>Malagowni.Goud@meesho.com</t>
  </si>
  <si>
    <t>shivraj.shekhawat@meesho.com</t>
  </si>
  <si>
    <t>utkarsh.shukla1@meesho.com</t>
  </si>
  <si>
    <t>krishna@meesho.com</t>
  </si>
  <si>
    <r>
      <rPr>
        <u/>
        <sz val="9"/>
        <color rgb="FF1155CC"/>
        <rFont val="Lexend"/>
      </rPr>
      <t>mukul.goyal@meesho.com</t>
    </r>
  </si>
  <si>
    <t>uttekar.aditya@meesho.com</t>
  </si>
  <si>
    <t>kolakaluri.praveen@meesho.com</t>
  </si>
  <si>
    <t>dhinesh.j@meesho.com</t>
  </si>
  <si>
    <t>Suraj.kumar3@meesho.com</t>
  </si>
  <si>
    <t>karthik.p@meesho.com</t>
  </si>
  <si>
    <t>hemant.verma@meesho.com</t>
  </si>
  <si>
    <t>praveen.malhotra@meesho.com</t>
  </si>
  <si>
    <t>dhinakaran.ramesh@meesho.com</t>
  </si>
  <si>
    <t>bibhuti.barik@meesho.com</t>
  </si>
  <si>
    <t>kamaljeet.kaur@meesho.com</t>
  </si>
  <si>
    <t>nilesh.kshirsagar@meesho.com</t>
  </si>
  <si>
    <t>naveen.yadav@meesho.com</t>
  </si>
  <si>
    <t>ravi.karan@meesho.com</t>
  </si>
  <si>
    <t>Lavkush.tiwari@meesho.com</t>
  </si>
  <si>
    <t>sonu.1@meesho.com</t>
  </si>
  <si>
    <t>pandey.santosh@meesho.com</t>
  </si>
  <si>
    <t>kalpesh.sangale@meesho.com</t>
  </si>
  <si>
    <t>prakash.lonare@meesho.com</t>
  </si>
  <si>
    <t>ajay.thakur@meesho.com</t>
  </si>
  <si>
    <t>vikaskumar.ray@meesho.com</t>
  </si>
  <si>
    <t>90366 61602</t>
  </si>
  <si>
    <t>7624961 553</t>
  </si>
  <si>
    <t>97817 67191</t>
  </si>
  <si>
    <t>98600 83678</t>
  </si>
  <si>
    <t>9265430735/ 9033146926</t>
  </si>
  <si>
    <t>70131 58900</t>
  </si>
  <si>
    <t>7053637751/8700445098</t>
  </si>
  <si>
    <t>81205 71922</t>
  </si>
  <si>
    <t>6354 324 702</t>
  </si>
  <si>
    <t>87803 55112</t>
  </si>
  <si>
    <t>96866 49647</t>
  </si>
  <si>
    <t>8160776092/9173700204</t>
  </si>
  <si>
    <t>vishal.mistri@meesho.com</t>
  </si>
  <si>
    <t>gowtham.bs@meesho.com</t>
  </si>
  <si>
    <t>kalyan.reddy@meesho.com</t>
  </si>
  <si>
    <t>sagar.khaple@meesho.com</t>
  </si>
  <si>
    <t>rahul.thakare@meesho.com</t>
  </si>
  <si>
    <t>saurabhkumar.prashad@meesho.com</t>
  </si>
  <si>
    <t>jamaluddin.khan@meesho.com</t>
  </si>
  <si>
    <t>bibhuti.sethy@meesho.com</t>
  </si>
  <si>
    <t>Sheshathri.r@meesho.com</t>
  </si>
  <si>
    <t>jasveer.singh@meesho.com</t>
  </si>
  <si>
    <t xml:space="preserve">pintoo.shah@meesho.com </t>
  </si>
  <si>
    <t>prashant.pothdar@meesho.com</t>
  </si>
  <si>
    <r>
      <rPr>
        <u/>
        <sz val="9"/>
        <color rgb="FF1155CC"/>
        <rFont val="Lexend"/>
      </rPr>
      <t>arvind.yadav@meesho.com</t>
    </r>
  </si>
  <si>
    <t>Akshay.kumar1@meesho.com</t>
  </si>
  <si>
    <t>alok.anupam@meesho.com</t>
  </si>
  <si>
    <t>brij.chauhan@meesho.com</t>
  </si>
  <si>
    <t>bikash.borah@meesho.com</t>
  </si>
  <si>
    <r>
      <rPr>
        <u/>
        <sz val="9"/>
        <color rgb="FF1155CC"/>
        <rFont val="Lexend"/>
      </rPr>
      <t>sonu.yadav@meesho.com</t>
    </r>
  </si>
  <si>
    <t xml:space="preserve">saikat.debnath@meesho.com </t>
  </si>
  <si>
    <t>bommi.nagesh@meesho.com</t>
  </si>
  <si>
    <t>durgesh.kori@meesho.com</t>
  </si>
  <si>
    <t>mantesh.bairwa@meesho.com</t>
  </si>
  <si>
    <t>abdul.rahuf@meesho.com</t>
  </si>
  <si>
    <t>rohit.shekhawat@meesho.com</t>
  </si>
  <si>
    <t>gyan.jaiswal@meesho.com</t>
  </si>
  <si>
    <t>rituraj.gupta@meesho.com</t>
  </si>
  <si>
    <t>tapas.bhuinya@meesho.com</t>
  </si>
  <si>
    <t>umakant.maurya@meesho.com</t>
  </si>
  <si>
    <t>ajeet.singh@meesho.com</t>
  </si>
  <si>
    <t xml:space="preserve">arun.prasher@meesho.com </t>
  </si>
  <si>
    <t>gurjit.singh@meesho.com</t>
  </si>
  <si>
    <t>sourabh.kumar1@meesho.com</t>
  </si>
  <si>
    <t>shreyash.kapse@meesho.com</t>
  </si>
  <si>
    <t>shashikant.kumar@meesho.com</t>
  </si>
  <si>
    <t>narvin.k@meesho.com</t>
  </si>
  <si>
    <t xml:space="preserve">prakul.jaret@meesho.com        </t>
  </si>
  <si>
    <t xml:space="preserve"> kanhai.thakur@meesho.com</t>
  </si>
  <si>
    <t>ratul.paul@meesho.com</t>
  </si>
  <si>
    <t>pranjit.das@meesho.com</t>
  </si>
  <si>
    <t>Bikash Borah</t>
  </si>
  <si>
    <t>vishal.soni@meesho.com</t>
  </si>
  <si>
    <t>nitesh.mehta@meesho.com</t>
  </si>
  <si>
    <t>trivedi.sureshbhai@meesho.com</t>
  </si>
  <si>
    <t>sanket.pundkar@meesho.com</t>
  </si>
  <si>
    <t>kalal.vinod@meesho.com</t>
  </si>
  <si>
    <t>malabanti.prasad@meesho.com</t>
  </si>
  <si>
    <t>gorapalli.srikant@meesho.com</t>
  </si>
  <si>
    <t>vishal2@meesho.com</t>
  </si>
  <si>
    <t>shobhit@meesho.com</t>
  </si>
  <si>
    <t>prahalad.jha@meesho.com</t>
  </si>
  <si>
    <t>Vishwas.singh@meesho.com</t>
  </si>
  <si>
    <t>raj.yadav1@meesho.com</t>
  </si>
  <si>
    <t>abir.roy@meesho.com</t>
  </si>
  <si>
    <t>rahul.patil1@meesho.com</t>
  </si>
  <si>
    <t>roshan.asthiya@meesho.com</t>
  </si>
  <si>
    <t>subrata.mondal@meesho.com</t>
  </si>
  <si>
    <t>sonu.kumar1@meesho.com</t>
  </si>
  <si>
    <t>vinay.bhushan@meesho.com</t>
  </si>
  <si>
    <t>mohammad.rizwan@meesho.com</t>
  </si>
  <si>
    <t>reshmi.ramesh@meesho.com</t>
  </si>
  <si>
    <t>deep.dey@meesho.com</t>
  </si>
  <si>
    <t>dileep.kashyap@meesho.com</t>
  </si>
  <si>
    <t>sheshathri.r@meesho.com</t>
  </si>
  <si>
    <t>hariprasath.m@meesho.com</t>
  </si>
  <si>
    <t>vikas.prajapat@meesho.com</t>
  </si>
  <si>
    <t>ashok.naik@meesho.com</t>
  </si>
  <si>
    <t>ramesh.singh@meesho.com</t>
  </si>
  <si>
    <t>banti@meesho.com</t>
  </si>
  <si>
    <t>sandeep.chauhan@meesho.com</t>
  </si>
  <si>
    <t>paramjeet.dahiya@meesho.com</t>
  </si>
  <si>
    <t>rana.pratap@meesho.com</t>
  </si>
  <si>
    <t>chinthala.shivaji@meesho.com</t>
  </si>
  <si>
    <t>shankar.dagar@meesho.com</t>
  </si>
  <si>
    <t>vishwajeet.kumar1@meesho.com</t>
  </si>
  <si>
    <t>uday.dodamani@meesho.com</t>
  </si>
  <si>
    <t>praveen.sen@meesho.com</t>
  </si>
  <si>
    <t>pettem.rakesh@meesho.com</t>
  </si>
  <si>
    <t>sanket.kolhe@meesho.com</t>
  </si>
  <si>
    <t>krishna.pandey@meesho.com</t>
  </si>
  <si>
    <t>akhand.singh@meesho.com</t>
  </si>
  <si>
    <t>nishant.dubey@meesho.com</t>
  </si>
  <si>
    <t>nikesh.singh@meesho.com</t>
  </si>
  <si>
    <t>vikas.kumar2@meesho.com</t>
  </si>
  <si>
    <t>subash.a@meesho.com</t>
  </si>
  <si>
    <t>yash.raj1@meesho.com</t>
  </si>
  <si>
    <t>thumma.venkatesh@meesho.com</t>
  </si>
  <si>
    <t xml:space="preserve"> Sagar.kumar@meesho.com</t>
  </si>
  <si>
    <t>aslam@meesho.com</t>
  </si>
  <si>
    <t>sachin.dahiya@meesho.com</t>
  </si>
  <si>
    <t>rahul.kumar9@meesho.com</t>
  </si>
  <si>
    <t>pawan.tripathi@meesho.com</t>
  </si>
  <si>
    <t>rushikesh.jadhav@meesho.com</t>
  </si>
  <si>
    <t>minakshi.pundir@meesho.com</t>
  </si>
  <si>
    <t>lokendra.singh@meesho.com</t>
  </si>
  <si>
    <t>hemant.kumar@meesho.com</t>
  </si>
  <si>
    <t>sarvan@meesho.com</t>
  </si>
  <si>
    <t>sandeep.char@meesho.com</t>
  </si>
  <si>
    <t xml:space="preserve">vicky.yadav@meesho.com </t>
  </si>
  <si>
    <t>somenath.singh@meesho.com</t>
  </si>
  <si>
    <t>abhinaba.debnath@meesho.com</t>
  </si>
  <si>
    <t>pramod.behera@meesho.com</t>
  </si>
  <si>
    <t>rajat.sengar@meesho.com</t>
  </si>
  <si>
    <t>chhatrapal.singh@meesho.com</t>
  </si>
  <si>
    <t>bindu.r@meesho.com</t>
  </si>
  <si>
    <t>vimal.singh@meesho.com</t>
  </si>
  <si>
    <t>roushan.kumar1@meesho.com</t>
  </si>
  <si>
    <t>abhishek.padmane@meesho.com</t>
  </si>
  <si>
    <t>fg</t>
  </si>
  <si>
    <t xml:space="preserve"> pokuri.kumar@meesho.com</t>
  </si>
  <si>
    <t>ojha.ajay@meesho.com</t>
  </si>
  <si>
    <t>santosh.kumar1@meesho.com</t>
  </si>
  <si>
    <t>shivanand.bannatti@meesho.com</t>
  </si>
  <si>
    <t>neeraj.sharma2@meesho.com</t>
  </si>
  <si>
    <t>moola.shivashankar@meesho.com</t>
  </si>
  <si>
    <t>saravanaperumal.g@meesho.com</t>
  </si>
  <si>
    <t>ashish.kumar7@meesho.com</t>
  </si>
  <si>
    <t>biju.k@meesho.com</t>
  </si>
  <si>
    <t>hari.om1@meesho.com</t>
  </si>
  <si>
    <t>priyadharshini.j@meesho.com</t>
  </si>
  <si>
    <t>ranjan@meesho.com</t>
  </si>
  <si>
    <t>raju.rav@meesho.com</t>
  </si>
  <si>
    <t>sanket.patil1@meesho.com</t>
  </si>
  <si>
    <t>Shubham1@meesho.com</t>
  </si>
  <si>
    <t>upendra.singh@meesho.com</t>
  </si>
  <si>
    <t>arashdeep.singh@meesho.com</t>
  </si>
  <si>
    <t>saurabhkumar.prashad@eesho.com</t>
  </si>
  <si>
    <t>abhiyuddh.soni@meesho.com</t>
  </si>
  <si>
    <t xml:space="preserve"> 70032 86129</t>
  </si>
  <si>
    <t>4ls</t>
  </si>
  <si>
    <t>91223 14435</t>
  </si>
  <si>
    <t>824 875 4934</t>
  </si>
  <si>
    <t xml:space="preserve"> 6294 048 402</t>
  </si>
  <si>
    <t>81469 33996</t>
  </si>
  <si>
    <t>Kunal.kadam@meesho.com</t>
  </si>
  <si>
    <t>swapnil.surati@meesho.com</t>
  </si>
  <si>
    <t>chinmaya.sethy@meesho.com</t>
  </si>
  <si>
    <t>premananda.naik@meesho.com</t>
  </si>
  <si>
    <r>
      <rPr>
        <u/>
        <sz val="11"/>
        <color rgb="FF1155CC"/>
        <rFont val="Calibri"/>
        <family val="2"/>
      </rPr>
      <t>krishan.kumar1@meesho.com</t>
    </r>
  </si>
  <si>
    <t>rakesh.kumawat@meesho.com</t>
  </si>
  <si>
    <t>eshant.wasnik@meesho.com</t>
  </si>
  <si>
    <t>kishor.bhagat@meesho.com</t>
  </si>
  <si>
    <t>nikhil.kale@meesho.com</t>
  </si>
  <si>
    <t>96107 71514</t>
  </si>
  <si>
    <t>parthiban.p@meesho.com</t>
  </si>
  <si>
    <t>90035 90454</t>
  </si>
  <si>
    <t>bholanath.singh@meesho.com</t>
  </si>
  <si>
    <t>amit1@meesho.com</t>
  </si>
  <si>
    <t>rajesh.j@meesho.com</t>
  </si>
  <si>
    <t>vikram.patil@meesho.com</t>
  </si>
  <si>
    <t>makhan.haritwat@meesho.com</t>
  </si>
  <si>
    <t xml:space="preserve">ravinder@meesho.com </t>
  </si>
  <si>
    <t xml:space="preserve">bharat.bondre1@meesho.com </t>
  </si>
  <si>
    <t>vijay.kumar@meesho.com</t>
  </si>
  <si>
    <r>
      <rPr>
        <u/>
        <sz val="11"/>
        <color rgb="FF1155CC"/>
        <rFont val="Calibri"/>
        <family val="2"/>
      </rPr>
      <t>vikas.prajapat@meesho.com</t>
    </r>
  </si>
  <si>
    <t>shahrun.khan@meesho.com</t>
  </si>
  <si>
    <r>
      <rPr>
        <u/>
        <sz val="11"/>
        <color rgb="FF1155CC"/>
        <rFont val="Calibri"/>
        <family val="2"/>
      </rPr>
      <t>deepak.chejara@meesho.com</t>
    </r>
  </si>
  <si>
    <t>kuldeep.singh@meesho.com</t>
  </si>
  <si>
    <t>praveen1@meesho.com</t>
  </si>
  <si>
    <t>akshay.sawant@meesho.com</t>
  </si>
  <si>
    <t>sreeranjith.r@meesho.com</t>
  </si>
  <si>
    <t>jadav.kanaksinh@meesho.com</t>
  </si>
  <si>
    <t xml:space="preserve">karthikeyan.p@meesho.com </t>
  </si>
  <si>
    <r>
      <rPr>
        <sz val="11"/>
        <color rgb="FF000000"/>
        <rFont val="Calibri"/>
        <family val="2"/>
      </rPr>
      <t>mohammed.gr</t>
    </r>
    <r>
      <rPr>
        <sz val="11"/>
        <color theme="1"/>
        <rFont val="Calibri"/>
        <family val="2"/>
      </rPr>
      <t>@meesho.com</t>
    </r>
  </si>
  <si>
    <r>
      <rPr>
        <u/>
        <sz val="11"/>
        <color rgb="FF1155CC"/>
        <rFont val="Calibri"/>
        <family val="2"/>
      </rPr>
      <t>irfan.khan1@meesho.com</t>
    </r>
  </si>
  <si>
    <t>76652 47519</t>
  </si>
  <si>
    <t>sagar.patil@meesho.com</t>
  </si>
  <si>
    <t>vikas.chouhan@meesho.com</t>
  </si>
  <si>
    <r>
      <rPr>
        <u/>
        <sz val="11"/>
        <color rgb="FF1155CC"/>
        <rFont val="Calibri"/>
        <family val="2"/>
      </rPr>
      <t>rahul.kumar9@meesho.com</t>
    </r>
  </si>
  <si>
    <t>ajit@meesho.com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</si>
</sst>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Aptos Narrow"/>
      <family val="2"/>
      <scheme val="minor"/>
    </font>
    <font>
      <b/>
      <sz val="9"/>
      <color theme="1"/>
      <name val="Lexend"/>
    </font>
    <font>
      <sz val="9"/>
      <color theme="1"/>
      <name val="Lexend"/>
    </font>
    <font>
      <b/>
      <sz val="9"/>
      <color rgb="FF434343"/>
      <name val="Lexend"/>
    </font>
    <font>
      <sz val="9"/>
      <color rgb="FF000000"/>
      <name val="Lexend"/>
    </font>
    <font>
      <sz val="9"/>
      <color indexed="81"/>
      <name val="Tahoma"/>
      <family val="2"/>
    </font>
    <font>
      <u/>
      <sz val="9"/>
      <color rgb="FF0000FF"/>
      <name val="Lexend"/>
    </font>
    <font>
      <u/>
      <sz val="9"/>
      <color rgb="FF1155CC"/>
      <name val="Lexend"/>
    </font>
    <font>
      <sz val="9"/>
      <color rgb="FF444746"/>
      <name val="Lexend"/>
    </font>
    <font>
      <sz val="9"/>
      <color rgb="FF222222"/>
      <name val="Lexend"/>
    </font>
    <font>
      <sz val="9"/>
      <color rgb="FF1155CC"/>
      <name val="Lexend"/>
    </font>
    <font>
      <sz val="9"/>
      <name val="Lexend"/>
    </font>
    <font>
      <sz val="9"/>
      <color rgb="FF393939"/>
      <name val="Lexend"/>
    </font>
    <font>
      <sz val="9"/>
      <color rgb="FF3C4043"/>
      <name val="Lexend"/>
    </font>
    <font>
      <sz val="9"/>
      <color rgb="FF5E5E5E"/>
      <name val="Lexend"/>
    </font>
    <font>
      <sz val="9"/>
      <color rgb="FF202124"/>
      <name val="Lexend"/>
    </font>
    <font>
      <sz val="11"/>
      <color theme="1"/>
      <name val="Calibri"/>
      <family val="2"/>
    </font>
    <font>
      <u/>
      <sz val="11"/>
      <color rgb="FF0000FF"/>
      <name val="Calibri"/>
      <family val="2"/>
    </font>
    <font>
      <u/>
      <sz val="11"/>
      <color rgb="FF1155CC"/>
      <name val="Calibri"/>
      <family val="2"/>
    </font>
    <font>
      <sz val="11"/>
      <color rgb="FF000000"/>
      <name val="Calibri"/>
      <family val="2"/>
    </font>
    <font>
      <sz val="11"/>
      <color rgb="FF222222"/>
      <name val="Calibri"/>
      <family val="2"/>
    </font>
    <font>
      <sz val="11"/>
      <color rgb="FF444746"/>
      <name val="Calibri"/>
      <family val="2"/>
    </font>
    <font>
      <u/>
      <sz val="11"/>
      <color rgb="FF222222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F0F4F9"/>
        <bgColor rgb="FFF0F4F9"/>
      </patternFill>
    </fill>
    <fill>
      <patternFill patternType="solid">
        <fgColor rgb="FFF3F3F3"/>
        <bgColor rgb="FFF3F3F3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wnloads/CH%20-%20AM%20Details%20(2).xlsx" TargetMode="External"/><Relationship Id="rId2" Type="http://schemas.openxmlformats.org/officeDocument/2006/relationships/externalLinkPath" Target="file:///C:\Users\Karthik%20Gunasekaran\Downloads\CH%20-%20AM%20Details%20(2).xlsx" TargetMode="External"/><Relationship Id="rId1" Type="http://schemas.openxmlformats.org/officeDocument/2006/relationships/externalLinkPath" Target="/Users/Karthik%20Gunasekaran/Downloads/CH%20-%20AM%20Details%20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orm Responses 1"/>
      <sheetName val="CH AM Details"/>
      <sheetName val="Recommendation @ AM hiring"/>
      <sheetName val="AM Details West &amp; South"/>
      <sheetName val="Summary on AM"/>
      <sheetName val="Sheet14"/>
      <sheetName val="Sheet16"/>
      <sheetName val="Detail1-Jaipur-MOHAMMAD IRFAN Q"/>
      <sheetName val="Emails"/>
      <sheetName val="Bolt Seals count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Code</v>
          </cell>
          <cell r="D1" t="str">
            <v>Zone</v>
          </cell>
          <cell r="E1" t="str">
            <v>Status</v>
          </cell>
          <cell r="F1" t="str">
            <v>City</v>
          </cell>
          <cell r="G1" t="str">
            <v>State</v>
          </cell>
          <cell r="H1" t="str">
            <v>SC Type</v>
          </cell>
          <cell r="I1" t="str">
            <v xml:space="preserve">SC Partner </v>
          </cell>
          <cell r="J1" t="str">
            <v>SC partner Email Id</v>
          </cell>
        </row>
        <row r="2">
          <cell r="C2" t="str">
            <v>GHS</v>
          </cell>
          <cell r="D2" t="str">
            <v>East</v>
          </cell>
          <cell r="E2" t="str">
            <v>Active</v>
          </cell>
          <cell r="F2" t="str">
            <v>Guwahati</v>
          </cell>
          <cell r="G2" t="str">
            <v>Assam</v>
          </cell>
          <cell r="H2" t="str">
            <v>LMSC</v>
          </cell>
          <cell r="I2" t="str">
            <v>Loadshare Network Pvt Ltd</v>
          </cell>
          <cell r="J2" t="str">
            <v>lsn_sc_ct@loadshare.net</v>
          </cell>
        </row>
        <row r="3">
          <cell r="C3" t="str">
            <v>SPS</v>
          </cell>
          <cell r="D3" t="str">
            <v>West</v>
          </cell>
          <cell r="E3" t="str">
            <v>Active</v>
          </cell>
          <cell r="F3" t="str">
            <v>Surat</v>
          </cell>
          <cell r="G3" t="str">
            <v>Gujarat</v>
          </cell>
          <cell r="H3" t="str">
            <v>FMSC</v>
          </cell>
          <cell r="I3" t="str">
            <v>Stellar Value Chain Solutions Private Limited</v>
          </cell>
          <cell r="J3" t="str">
            <v>vijaykumar.solanki@cevalogistics.com</v>
          </cell>
        </row>
        <row r="4">
          <cell r="C4" t="str">
            <v>KOS</v>
          </cell>
          <cell r="D4" t="str">
            <v>East</v>
          </cell>
          <cell r="E4" t="str">
            <v>Active</v>
          </cell>
          <cell r="F4" t="str">
            <v>Kolkata</v>
          </cell>
          <cell r="G4" t="str">
            <v>West Bengal</v>
          </cell>
          <cell r="H4" t="str">
            <v>LMSC</v>
          </cell>
          <cell r="I4" t="str">
            <v>Allcargo Supply Chain Pvt. Ltd.</v>
          </cell>
          <cell r="J4" t="str">
            <v>tamal.mete@allcargosupplychain.com</v>
          </cell>
        </row>
        <row r="5">
          <cell r="C5" t="str">
            <v>SHS</v>
          </cell>
          <cell r="D5" t="str">
            <v>West</v>
          </cell>
          <cell r="E5" t="str">
            <v>Active</v>
          </cell>
          <cell r="F5" t="str">
            <v>Surat</v>
          </cell>
          <cell r="G5" t="str">
            <v>Gujarat</v>
          </cell>
          <cell r="H5" t="str">
            <v>FMSC</v>
          </cell>
          <cell r="I5" t="str">
            <v>Allcargo Supply Chain Pvt. Ltd.</v>
          </cell>
          <cell r="J5" t="str">
            <v>umeshkumar.singh@allcargosupplychain.com</v>
          </cell>
        </row>
        <row r="6">
          <cell r="C6" t="str">
            <v>DLS</v>
          </cell>
          <cell r="D6" t="str">
            <v>North</v>
          </cell>
          <cell r="E6" t="str">
            <v>Active</v>
          </cell>
          <cell r="F6" t="str">
            <v>Farukhnagar</v>
          </cell>
          <cell r="G6" t="str">
            <v>Haryana</v>
          </cell>
          <cell r="H6" t="str">
            <v>FMSC</v>
          </cell>
          <cell r="I6" t="str">
            <v>Stellar Value Chain Solutions Private Limited</v>
          </cell>
          <cell r="J6" t="str">
            <v>manish.manish@cevalogistics.com</v>
          </cell>
        </row>
        <row r="7">
          <cell r="C7" t="str">
            <v>LKS</v>
          </cell>
          <cell r="D7" t="str">
            <v>North</v>
          </cell>
          <cell r="E7" t="str">
            <v>Inactive</v>
          </cell>
          <cell r="F7" t="str">
            <v>Lucknow</v>
          </cell>
          <cell r="G7" t="str">
            <v>Uttar Pradesh</v>
          </cell>
          <cell r="H7" t="str">
            <v>LMSC</v>
          </cell>
          <cell r="I7" t="str">
            <v>Loadshare Network Pvt Ltd</v>
          </cell>
          <cell r="J7" t="str">
            <v>mahadev@loadshare.net</v>
          </cell>
        </row>
        <row r="8">
          <cell r="C8" t="str">
            <v>PTS</v>
          </cell>
          <cell r="D8" t="str">
            <v>East</v>
          </cell>
          <cell r="E8" t="str">
            <v>Active</v>
          </cell>
          <cell r="F8" t="str">
            <v>Patna</v>
          </cell>
          <cell r="G8" t="str">
            <v>Bihar</v>
          </cell>
          <cell r="H8" t="str">
            <v>LMSC</v>
          </cell>
          <cell r="I8" t="str">
            <v>Loadshare Network Pvt Ltd</v>
          </cell>
          <cell r="J8" t="str">
            <v xml:space="preserve">santu@loadshare.net </v>
          </cell>
        </row>
        <row r="9">
          <cell r="C9" t="str">
            <v>BMS</v>
          </cell>
          <cell r="D9" t="str">
            <v>North</v>
          </cell>
          <cell r="E9" t="str">
            <v>Active</v>
          </cell>
          <cell r="F9" t="str">
            <v>Bamnoli</v>
          </cell>
          <cell r="G9" t="str">
            <v>Delhi</v>
          </cell>
          <cell r="H9" t="str">
            <v>LMSC</v>
          </cell>
          <cell r="I9" t="str">
            <v>Shree Maruti Integrated Logistics Limited</v>
          </cell>
          <cell r="J9" t="str">
            <v>Bhupendra.singh@shreemaruti.com</v>
          </cell>
        </row>
        <row r="10">
          <cell r="C10" t="str">
            <v>RNS</v>
          </cell>
          <cell r="D10" t="str">
            <v>East</v>
          </cell>
          <cell r="E10" t="str">
            <v>Active</v>
          </cell>
          <cell r="F10" t="str">
            <v>Ranchi</v>
          </cell>
          <cell r="G10" t="str">
            <v>Jharkhand</v>
          </cell>
          <cell r="H10" t="str">
            <v>LMSC</v>
          </cell>
          <cell r="I10" t="str">
            <v>Patliputra Logistics Private Limited</v>
          </cell>
          <cell r="J10" t="str">
            <v>sanjeev.singh@patliputralogistics.com</v>
          </cell>
        </row>
        <row r="11">
          <cell r="C11" t="str">
            <v>SLS</v>
          </cell>
          <cell r="D11" t="str">
            <v>East</v>
          </cell>
          <cell r="E11" t="str">
            <v>Active</v>
          </cell>
          <cell r="F11" t="str">
            <v>Siliguri</v>
          </cell>
          <cell r="G11" t="str">
            <v>West Bengal</v>
          </cell>
          <cell r="H11" t="str">
            <v>LMSC</v>
          </cell>
          <cell r="I11" t="str">
            <v>Esskaylogistics</v>
          </cell>
          <cell r="J11" t="str">
            <v>sobhan.jana@esskaylogistics.co.in</v>
          </cell>
        </row>
        <row r="12">
          <cell r="C12" t="str">
            <v>JAS</v>
          </cell>
          <cell r="D12" t="str">
            <v>West</v>
          </cell>
          <cell r="E12" t="str">
            <v>Inactive</v>
          </cell>
          <cell r="F12" t="str">
            <v>Jaipur</v>
          </cell>
          <cell r="G12" t="str">
            <v>Rajasthan</v>
          </cell>
          <cell r="H12" t="str">
            <v>FMSC</v>
          </cell>
          <cell r="I12" t="str">
            <v>Mahindra Logistics Limited</v>
          </cell>
          <cell r="J12" t="str">
            <v>BAIRWA.SHISHUPAL@mahindralogistics.com</v>
          </cell>
        </row>
        <row r="13">
          <cell r="C13" t="str">
            <v>VNS</v>
          </cell>
          <cell r="D13" t="str">
            <v>North</v>
          </cell>
          <cell r="E13" t="str">
            <v>Inactive</v>
          </cell>
          <cell r="F13" t="str">
            <v>Varanasi</v>
          </cell>
          <cell r="G13" t="str">
            <v>Uttar Pradesh</v>
          </cell>
          <cell r="H13" t="str">
            <v>LMSC</v>
          </cell>
          <cell r="I13" t="str">
            <v>Large Logic Pvt Ltd</v>
          </cell>
          <cell r="J13" t="str">
            <v>Nil</v>
          </cell>
        </row>
        <row r="14">
          <cell r="C14" t="str">
            <v>BLS</v>
          </cell>
          <cell r="D14" t="str">
            <v>South</v>
          </cell>
          <cell r="E14" t="str">
            <v>Active</v>
          </cell>
          <cell r="F14" t="str">
            <v>Bangalore</v>
          </cell>
          <cell r="G14" t="str">
            <v>Karnataka</v>
          </cell>
          <cell r="H14" t="str">
            <v>LMSC</v>
          </cell>
          <cell r="I14" t="str">
            <v>Allcargo Supply Chain Pvt. Ltd.</v>
          </cell>
          <cell r="J14" t="str">
            <v>Mohan.gowda@allcargosupplychain.com</v>
          </cell>
        </row>
        <row r="15">
          <cell r="C15" t="str">
            <v>BWS</v>
          </cell>
          <cell r="D15" t="str">
            <v>West</v>
          </cell>
          <cell r="E15" t="str">
            <v>Active</v>
          </cell>
          <cell r="F15" t="str">
            <v>Bhiwandi</v>
          </cell>
          <cell r="G15" t="str">
            <v>Maharashtra</v>
          </cell>
          <cell r="H15" t="str">
            <v>LMSC</v>
          </cell>
          <cell r="I15" t="str">
            <v>Allcargo Supply Chain Pvt. Ltd.</v>
          </cell>
          <cell r="J15" t="str">
            <v>ANS_63223@allcargologistics.com</v>
          </cell>
        </row>
        <row r="16">
          <cell r="C16" t="str">
            <v>DBS</v>
          </cell>
          <cell r="D16" t="str">
            <v>East</v>
          </cell>
          <cell r="E16" t="str">
            <v>Active</v>
          </cell>
          <cell r="F16" t="str">
            <v>Dibrugarh</v>
          </cell>
          <cell r="G16" t="str">
            <v>Assam</v>
          </cell>
          <cell r="H16" t="str">
            <v>LMSC</v>
          </cell>
          <cell r="I16" t="str">
            <v>Loadshare Network Pvt Ltd</v>
          </cell>
          <cell r="J16" t="str">
            <v>lsn_sc_ct@loadshare.net</v>
          </cell>
        </row>
        <row r="17">
          <cell r="C17" t="str">
            <v>AHS</v>
          </cell>
          <cell r="D17" t="str">
            <v>West</v>
          </cell>
          <cell r="E17" t="str">
            <v>Active</v>
          </cell>
          <cell r="F17" t="str">
            <v>Ahmedabad</v>
          </cell>
          <cell r="G17" t="str">
            <v>Gujarat</v>
          </cell>
          <cell r="H17" t="str">
            <v>LMSC</v>
          </cell>
          <cell r="I17" t="str">
            <v>Shree Maruti Integrated Logistics Limited</v>
          </cell>
          <cell r="J17" t="str">
            <v xml:space="preserve">chandan.k@shreemaruti.com </v>
          </cell>
        </row>
        <row r="18">
          <cell r="C18" t="str">
            <v>DSS</v>
          </cell>
          <cell r="D18" t="str">
            <v>North</v>
          </cell>
          <cell r="E18" t="str">
            <v>Inactive</v>
          </cell>
          <cell r="F18" t="str">
            <v>Dasna</v>
          </cell>
          <cell r="G18" t="str">
            <v>Uttar Pradesh</v>
          </cell>
          <cell r="H18" t="str">
            <v>FMSC</v>
          </cell>
          <cell r="I18" t="str">
            <v>Mahindra Logistics Limited</v>
          </cell>
          <cell r="J18" t="str">
            <v>mll_meesho@mahindralogistics.com</v>
          </cell>
        </row>
        <row r="19">
          <cell r="C19" t="str">
            <v>BUS</v>
          </cell>
          <cell r="D19" t="str">
            <v>East</v>
          </cell>
          <cell r="E19" t="str">
            <v>Active</v>
          </cell>
          <cell r="F19" t="str">
            <v>Bhubaneswar</v>
          </cell>
          <cell r="G19" t="str">
            <v>Odisha</v>
          </cell>
          <cell r="H19" t="str">
            <v>LMSC</v>
          </cell>
          <cell r="I19" t="str">
            <v>Proconnect Supply Chain Solutions Limited</v>
          </cell>
          <cell r="J19" t="str">
            <v>santosh@proconnectlogistics.com</v>
          </cell>
        </row>
        <row r="20">
          <cell r="C20" t="str">
            <v>LUS</v>
          </cell>
          <cell r="D20" t="str">
            <v>North</v>
          </cell>
          <cell r="E20" t="str">
            <v>Inactive</v>
          </cell>
          <cell r="F20" t="str">
            <v>Ludhiana</v>
          </cell>
          <cell r="G20" t="str">
            <v>Punjab</v>
          </cell>
          <cell r="H20" t="str">
            <v>LMSC</v>
          </cell>
          <cell r="I20" t="str">
            <v>Mahindra Logistics Limited</v>
          </cell>
          <cell r="J20" t="str">
            <v>Lus_team@mahindralogistics.com</v>
          </cell>
        </row>
        <row r="21">
          <cell r="C21" t="str">
            <v>VWS</v>
          </cell>
          <cell r="D21" t="str">
            <v>South</v>
          </cell>
          <cell r="E21" t="str">
            <v>Active</v>
          </cell>
          <cell r="F21" t="str">
            <v>Vijayawada</v>
          </cell>
          <cell r="G21" t="str">
            <v>Andhrapradesh</v>
          </cell>
          <cell r="H21" t="str">
            <v>LMSC</v>
          </cell>
          <cell r="I21" t="str">
            <v>Proconnect Supply Chain Solutions Limited</v>
          </cell>
          <cell r="J21" t="str">
            <v>manohar.tk@proconnectlogistics.com</v>
          </cell>
        </row>
        <row r="22">
          <cell r="C22" t="str">
            <v>BHS</v>
          </cell>
          <cell r="D22" t="str">
            <v>West</v>
          </cell>
          <cell r="E22" t="str">
            <v>Inactive</v>
          </cell>
          <cell r="F22" t="str">
            <v>Bhopal</v>
          </cell>
          <cell r="G22" t="str">
            <v>Madhya Pradesh</v>
          </cell>
          <cell r="H22" t="str">
            <v>LMSC</v>
          </cell>
          <cell r="I22" t="str">
            <v>Allcargo Supply Chain Pvt. Ltd.</v>
          </cell>
          <cell r="J22" t="str">
            <v>bhsops@allcargologisticsltd.onmicrosoft.com</v>
          </cell>
        </row>
        <row r="23">
          <cell r="C23" t="str">
            <v>GPS</v>
          </cell>
          <cell r="D23" t="str">
            <v>East</v>
          </cell>
          <cell r="E23" t="str">
            <v>Active</v>
          </cell>
          <cell r="F23" t="str">
            <v>Gopalganj</v>
          </cell>
          <cell r="G23" t="str">
            <v>Bihar</v>
          </cell>
          <cell r="H23" t="str">
            <v>LMSC</v>
          </cell>
          <cell r="I23" t="str">
            <v>Patliputra Logistics Private Limited</v>
          </cell>
          <cell r="J23" t="str">
            <v>sanjeev.singh@patliputralogistics.com</v>
          </cell>
        </row>
        <row r="24">
          <cell r="C24" t="str">
            <v>SUS</v>
          </cell>
          <cell r="D24" t="str">
            <v>West</v>
          </cell>
          <cell r="E24" t="str">
            <v>Active</v>
          </cell>
          <cell r="F24" t="str">
            <v>Surat</v>
          </cell>
          <cell r="G24" t="str">
            <v>Gujarat</v>
          </cell>
          <cell r="H24" t="str">
            <v>FMSC</v>
          </cell>
          <cell r="I24" t="str">
            <v>DP World Express Logistics Private Limited</v>
          </cell>
          <cell r="J24" t="str">
            <v>dipak.kulathe@dpworld.com</v>
          </cell>
        </row>
        <row r="25">
          <cell r="C25" t="str">
            <v>JPS</v>
          </cell>
          <cell r="D25" t="str">
            <v>West</v>
          </cell>
          <cell r="E25" t="str">
            <v>Active</v>
          </cell>
          <cell r="F25" t="str">
            <v>Jaipur</v>
          </cell>
          <cell r="G25" t="str">
            <v>Rajasthan</v>
          </cell>
          <cell r="H25" t="str">
            <v>LMSC</v>
          </cell>
          <cell r="I25" t="str">
            <v>Patliputra Logistics Private Limited</v>
          </cell>
          <cell r="J25" t="str">
            <v>manoj.verma@patliputralogistics.com</v>
          </cell>
        </row>
        <row r="26">
          <cell r="C26" t="str">
            <v>FRS</v>
          </cell>
          <cell r="D26" t="str">
            <v>North</v>
          </cell>
          <cell r="E26" t="str">
            <v>Active</v>
          </cell>
          <cell r="F26" t="str">
            <v>Faridabad</v>
          </cell>
          <cell r="G26" t="str">
            <v>Haryana</v>
          </cell>
          <cell r="H26" t="str">
            <v>FMSC</v>
          </cell>
          <cell r="I26" t="str">
            <v>Warehouse Now</v>
          </cell>
          <cell r="J26" t="str">
            <v>frs-core-ops@warehousenow.in</v>
          </cell>
        </row>
        <row r="27">
          <cell r="C27" t="str">
            <v>VZS</v>
          </cell>
          <cell r="D27" t="str">
            <v>South</v>
          </cell>
          <cell r="E27" t="str">
            <v>Active</v>
          </cell>
          <cell r="F27" t="str">
            <v>Vizag</v>
          </cell>
          <cell r="G27" t="str">
            <v>Andhrapradesh</v>
          </cell>
          <cell r="H27" t="str">
            <v>LMSC</v>
          </cell>
          <cell r="I27" t="str">
            <v>Loadshare Network Pvt Ltd</v>
          </cell>
          <cell r="J27" t="str">
            <v>bharath@loadshare.net</v>
          </cell>
        </row>
        <row r="28">
          <cell r="C28" t="str">
            <v>MRS</v>
          </cell>
          <cell r="D28" t="str">
            <v>South</v>
          </cell>
          <cell r="E28" t="str">
            <v>Inactive</v>
          </cell>
          <cell r="F28" t="str">
            <v>Chennai</v>
          </cell>
          <cell r="G28" t="str">
            <v>Tamil Nadu</v>
          </cell>
          <cell r="H28" t="str">
            <v>LMSC</v>
          </cell>
          <cell r="I28" t="str">
            <v>Mahindra Logistics Limited</v>
          </cell>
          <cell r="J28" t="str">
            <v>mll-chennai-mrs@mahindralogistics.com</v>
          </cell>
        </row>
        <row r="29">
          <cell r="C29" t="str">
            <v>FKS</v>
          </cell>
          <cell r="D29" t="str">
            <v>North</v>
          </cell>
          <cell r="E29" t="str">
            <v>Active</v>
          </cell>
          <cell r="F29" t="str">
            <v>Helimandi</v>
          </cell>
          <cell r="G29" t="str">
            <v>Haryana</v>
          </cell>
          <cell r="H29" t="str">
            <v>FMSC</v>
          </cell>
          <cell r="I29" t="str">
            <v>FREIGHT SYSTEMS INDIA PRIVATE LIMITED</v>
          </cell>
          <cell r="J29" t="str">
            <v>Reports.fks@freightsystems.com</v>
          </cell>
        </row>
        <row r="30">
          <cell r="C30" t="str">
            <v>SCS</v>
          </cell>
          <cell r="D30" t="str">
            <v>West</v>
          </cell>
          <cell r="E30" t="str">
            <v>Active</v>
          </cell>
          <cell r="F30" t="str">
            <v>Surat</v>
          </cell>
          <cell r="G30" t="str">
            <v>Gujarat</v>
          </cell>
          <cell r="H30" t="str">
            <v>FMSC</v>
          </cell>
          <cell r="I30" t="str">
            <v>CJDarcl India Pvt Ltd</v>
          </cell>
          <cell r="J30" t="str">
            <v>meesho_surat_wh@cjdarcl.com</v>
          </cell>
        </row>
        <row r="31">
          <cell r="C31" t="str">
            <v>DHS</v>
          </cell>
          <cell r="D31" t="str">
            <v>South</v>
          </cell>
          <cell r="E31" t="str">
            <v>Inactive</v>
          </cell>
          <cell r="F31" t="str">
            <v>Hubbli/dharward</v>
          </cell>
          <cell r="G31" t="str">
            <v>Karnataka</v>
          </cell>
          <cell r="H31" t="str">
            <v>LMSC</v>
          </cell>
          <cell r="I31" t="str">
            <v>Warehouse Now</v>
          </cell>
          <cell r="J31" t="str">
            <v>Ujienamartin@warehousenow.in</v>
          </cell>
        </row>
        <row r="32">
          <cell r="C32" t="str">
            <v>JIS</v>
          </cell>
          <cell r="D32" t="str">
            <v>West</v>
          </cell>
          <cell r="E32" t="str">
            <v>Active</v>
          </cell>
          <cell r="F32" t="str">
            <v>Jaipur</v>
          </cell>
          <cell r="G32" t="str">
            <v>Rajasthan</v>
          </cell>
          <cell r="H32" t="str">
            <v>FMSC</v>
          </cell>
          <cell r="I32" t="str">
            <v>DP World Express Logistics Private Limited</v>
          </cell>
          <cell r="J32" t="str">
            <v>pawan.yadav@dpworld.com</v>
          </cell>
        </row>
        <row r="33">
          <cell r="C33" t="str">
            <v>KCS</v>
          </cell>
          <cell r="D33" t="str">
            <v>South</v>
          </cell>
          <cell r="E33" t="str">
            <v>Inactive</v>
          </cell>
          <cell r="F33" t="str">
            <v>Kochi</v>
          </cell>
          <cell r="G33" t="str">
            <v>Kerala</v>
          </cell>
          <cell r="H33" t="str">
            <v>LMSC</v>
          </cell>
          <cell r="I33" t="str">
            <v>Large Logic Pvt Ltd</v>
          </cell>
          <cell r="J33" t="str">
            <v>Nil</v>
          </cell>
        </row>
        <row r="34">
          <cell r="C34" t="str">
            <v>GAS</v>
          </cell>
          <cell r="D34" t="str">
            <v>North</v>
          </cell>
          <cell r="E34" t="str">
            <v>Inactive</v>
          </cell>
          <cell r="F34" t="str">
            <v>Ghaziabad</v>
          </cell>
          <cell r="G34" t="str">
            <v>Uttar Pradesh</v>
          </cell>
          <cell r="H34" t="str">
            <v>FMSC</v>
          </cell>
          <cell r="I34" t="str">
            <v>XpressBees</v>
          </cell>
          <cell r="J34" t="str">
            <v>GASHA@xpressbees.com</v>
          </cell>
        </row>
        <row r="35">
          <cell r="C35" t="str">
            <v>PES</v>
          </cell>
          <cell r="D35" t="str">
            <v>West</v>
          </cell>
          <cell r="E35" t="str">
            <v>Inactive</v>
          </cell>
          <cell r="F35" t="str">
            <v>Pune</v>
          </cell>
          <cell r="G35" t="str">
            <v>Maharashtra</v>
          </cell>
          <cell r="H35" t="str">
            <v>LMSC</v>
          </cell>
          <cell r="I35" t="str">
            <v>AVS2 LOGISTICS INDIA PVT LTD</v>
          </cell>
          <cell r="J35" t="str">
            <v>sitelead-pes@avs2logisticsindia.com</v>
          </cell>
        </row>
        <row r="36">
          <cell r="C36" t="str">
            <v>GIS</v>
          </cell>
          <cell r="D36" t="str">
            <v>North</v>
          </cell>
          <cell r="E36" t="str">
            <v>Inactive</v>
          </cell>
          <cell r="F36" t="str">
            <v>Ghaziabad</v>
          </cell>
          <cell r="G36" t="str">
            <v>Uttar Pradesh</v>
          </cell>
          <cell r="H36" t="str">
            <v>LMSC</v>
          </cell>
          <cell r="I36" t="str">
            <v>Apollo Supply Chain Pvt Ltd</v>
          </cell>
          <cell r="J36" t="str">
            <v>Nil</v>
          </cell>
        </row>
        <row r="37">
          <cell r="C37" t="str">
            <v>CMS</v>
          </cell>
          <cell r="D37" t="str">
            <v>South</v>
          </cell>
          <cell r="E37" t="str">
            <v>Inactive</v>
          </cell>
          <cell r="F37" t="str">
            <v>Coimbatore</v>
          </cell>
          <cell r="G37" t="str">
            <v>Tamil Nadu</v>
          </cell>
          <cell r="H37" t="str">
            <v>Hybrid</v>
          </cell>
          <cell r="I37" t="str">
            <v>Ecom Express Limited</v>
          </cell>
          <cell r="J37" t="str">
            <v>cmsppc_hub@ecomexpress.in</v>
          </cell>
        </row>
        <row r="38">
          <cell r="C38" t="str">
            <v>RPS</v>
          </cell>
          <cell r="D38" t="str">
            <v>West</v>
          </cell>
          <cell r="E38" t="str">
            <v>Active</v>
          </cell>
          <cell r="F38" t="str">
            <v>Raipur</v>
          </cell>
          <cell r="G38" t="str">
            <v>chhatisgarh</v>
          </cell>
          <cell r="H38" t="str">
            <v>LMSC</v>
          </cell>
          <cell r="I38" t="str">
            <v>FIBS Logistics India Private Limited</v>
          </cell>
          <cell r="J38" t="str">
            <v>raipur.ops@fibs-logistics.com</v>
          </cell>
        </row>
        <row r="39">
          <cell r="C39" t="str">
            <v>HGS</v>
          </cell>
          <cell r="D39" t="str">
            <v>East</v>
          </cell>
          <cell r="E39" t="str">
            <v>Inactive</v>
          </cell>
          <cell r="F39" t="str">
            <v>Hooghly</v>
          </cell>
          <cell r="G39" t="str">
            <v>West Bengal</v>
          </cell>
          <cell r="H39" t="str">
            <v>FMSC</v>
          </cell>
          <cell r="I39" t="str">
            <v>XpressBees</v>
          </cell>
          <cell r="J39" t="str">
            <v>sovon.sarkar@xpressbees.com</v>
          </cell>
        </row>
        <row r="40">
          <cell r="C40" t="str">
            <v>NUS</v>
          </cell>
          <cell r="D40" t="str">
            <v>West</v>
          </cell>
          <cell r="E40" t="str">
            <v>Inactive</v>
          </cell>
          <cell r="F40" t="str">
            <v>Nagpur</v>
          </cell>
          <cell r="G40" t="str">
            <v>Maharashtra</v>
          </cell>
          <cell r="H40" t="str">
            <v>LMSC</v>
          </cell>
          <cell r="I40" t="str">
            <v>Mahindra Logistics Limited</v>
          </cell>
          <cell r="J40" t="str">
            <v>MLL-Nagpur-Ngp@mahindralogistics.com</v>
          </cell>
        </row>
        <row r="41">
          <cell r="C41" t="str">
            <v>AOS</v>
          </cell>
          <cell r="D41" t="str">
            <v>North</v>
          </cell>
          <cell r="E41" t="str">
            <v>Active</v>
          </cell>
          <cell r="F41" t="str">
            <v>Sonipat</v>
          </cell>
          <cell r="G41" t="str">
            <v>Haryana</v>
          </cell>
          <cell r="H41" t="str">
            <v>FMSC</v>
          </cell>
          <cell r="I41" t="str">
            <v>Apollo Supply Chain Pvt Ltd</v>
          </cell>
          <cell r="J41" t="str">
            <v>meesho@apollosupplychain.com</v>
          </cell>
        </row>
        <row r="42">
          <cell r="C42" t="str">
            <v>RKS</v>
          </cell>
          <cell r="D42" t="str">
            <v>West</v>
          </cell>
          <cell r="E42" t="str">
            <v>Active</v>
          </cell>
          <cell r="F42" t="str">
            <v>Rajkot</v>
          </cell>
          <cell r="G42" t="str">
            <v>Gujarat</v>
          </cell>
          <cell r="H42" t="str">
            <v>FMSC</v>
          </cell>
          <cell r="I42" t="str">
            <v>FIBS Logistics India Private Limited</v>
          </cell>
          <cell r="J42" t="str">
            <v xml:space="preserve">rajesh.maurya@fibs-logistics.com </v>
          </cell>
        </row>
        <row r="43">
          <cell r="C43" t="str">
            <v>SBS</v>
          </cell>
          <cell r="D43" t="str">
            <v>West</v>
          </cell>
          <cell r="E43" t="str">
            <v>Inactive</v>
          </cell>
          <cell r="F43" t="str">
            <v>Surat</v>
          </cell>
          <cell r="G43" t="str">
            <v>Gujarat</v>
          </cell>
          <cell r="H43" t="str">
            <v>FMSC</v>
          </cell>
          <cell r="I43" t="str">
            <v>XpressBees</v>
          </cell>
          <cell r="J43" t="str">
            <v>azruddin.ansari@xpressbees.com</v>
          </cell>
        </row>
        <row r="44">
          <cell r="C44" t="str">
            <v>DCS</v>
          </cell>
          <cell r="D44" t="str">
            <v>North</v>
          </cell>
          <cell r="E44" t="str">
            <v>Active</v>
          </cell>
          <cell r="F44" t="str">
            <v>Delhi</v>
          </cell>
          <cell r="G44" t="str">
            <v>Delhi</v>
          </cell>
          <cell r="H44" t="str">
            <v>FMSC</v>
          </cell>
          <cell r="I44" t="str">
            <v>CJDarcl India Pvt Ltd</v>
          </cell>
          <cell r="J44" t="str">
            <v>mundka_cjdarcl_sc@cjdarcl.com</v>
          </cell>
        </row>
        <row r="45">
          <cell r="C45" t="str">
            <v>JUS</v>
          </cell>
          <cell r="D45" t="str">
            <v>West</v>
          </cell>
          <cell r="E45" t="str">
            <v>Inactive</v>
          </cell>
          <cell r="F45" t="str">
            <v>Jaipur</v>
          </cell>
          <cell r="G45" t="str">
            <v>Rajasthan</v>
          </cell>
          <cell r="H45" t="str">
            <v>FMSC</v>
          </cell>
          <cell r="I45" t="str">
            <v>XpressBees</v>
          </cell>
          <cell r="J45" t="str">
            <v>manish.pandey1@xpressbees.com</v>
          </cell>
        </row>
        <row r="46">
          <cell r="C46" t="str">
            <v>JBS</v>
          </cell>
          <cell r="D46" t="str">
            <v>West</v>
          </cell>
          <cell r="E46" t="str">
            <v>Active</v>
          </cell>
          <cell r="F46" t="str">
            <v>Jabalpur</v>
          </cell>
          <cell r="G46" t="str">
            <v>Madhya Pradesh</v>
          </cell>
          <cell r="H46" t="str">
            <v>LMSC</v>
          </cell>
          <cell r="I46" t="str">
            <v>SHREE VASU LOGISTICS LTD</v>
          </cell>
          <cell r="J46" t="str">
            <v>warehouseincharge@shreevasulogistics.com</v>
          </cell>
        </row>
        <row r="47">
          <cell r="C47" t="str">
            <v>KBS</v>
          </cell>
          <cell r="D47" t="str">
            <v>North</v>
          </cell>
          <cell r="E47" t="str">
            <v>Active</v>
          </cell>
          <cell r="F47" t="str">
            <v>Kanpur</v>
          </cell>
          <cell r="G47" t="str">
            <v>Uttar Pradesh</v>
          </cell>
          <cell r="H47" t="str">
            <v>LMSC</v>
          </cell>
          <cell r="I47" t="str">
            <v>Ntex Transportation Services Pvt Ltd.</v>
          </cell>
          <cell r="J47" t="str">
            <v>Controltower@elastic.run</v>
          </cell>
        </row>
        <row r="48">
          <cell r="C48" t="str">
            <v>LOS</v>
          </cell>
          <cell r="D48" t="str">
            <v>North</v>
          </cell>
          <cell r="E48" t="str">
            <v>Active</v>
          </cell>
          <cell r="F48" t="str">
            <v>Ghaziabad</v>
          </cell>
          <cell r="G48" t="str">
            <v>Uttar Pradesh</v>
          </cell>
          <cell r="H48" t="str">
            <v>FMSC</v>
          </cell>
          <cell r="I48" t="str">
            <v>AVS2 LOGISTICS INDIA PVT LTD</v>
          </cell>
          <cell r="J48" t="str">
            <v>sitelead-loni@avs2logistics.com</v>
          </cell>
        </row>
        <row r="49">
          <cell r="C49" t="str">
            <v>HBS</v>
          </cell>
          <cell r="D49" t="str">
            <v>South</v>
          </cell>
          <cell r="E49" t="str">
            <v>Active</v>
          </cell>
          <cell r="F49" t="str">
            <v>Bangalore</v>
          </cell>
          <cell r="G49" t="str">
            <v>Karnataka</v>
          </cell>
          <cell r="H49" t="str">
            <v>Hybrid</v>
          </cell>
          <cell r="I49" t="str">
            <v>YCH Logistics (I) Pvt Ltd</v>
          </cell>
          <cell r="J49" t="str">
            <v>srinivas.g@ych.com</v>
          </cell>
        </row>
        <row r="50">
          <cell r="C50" t="str">
            <v>BBS</v>
          </cell>
          <cell r="D50" t="str">
            <v>East</v>
          </cell>
          <cell r="E50" t="str">
            <v>Active</v>
          </cell>
          <cell r="F50" t="str">
            <v>Bhubaneswar</v>
          </cell>
          <cell r="G50" t="str">
            <v>Odisha</v>
          </cell>
          <cell r="H50" t="str">
            <v>LMSC</v>
          </cell>
          <cell r="I50" t="str">
            <v>FIBS Logistics India Private Limited</v>
          </cell>
          <cell r="J50" t="str">
            <v>operations.bbsr@fibs-logistics.co</v>
          </cell>
        </row>
        <row r="51">
          <cell r="C51" t="str">
            <v>SYS</v>
          </cell>
          <cell r="D51" t="str">
            <v>East</v>
          </cell>
          <cell r="E51" t="str">
            <v>Active</v>
          </cell>
          <cell r="F51" t="str">
            <v>Silchar</v>
          </cell>
          <cell r="G51" t="str">
            <v>Assam</v>
          </cell>
          <cell r="H51" t="str">
            <v>LMSC</v>
          </cell>
          <cell r="I51" t="str">
            <v>Progex Logistics Private Limited</v>
          </cell>
          <cell r="J51" t="str">
            <v>arun.b@progex.in</v>
          </cell>
        </row>
        <row r="52">
          <cell r="C52" t="str">
            <v>MBS</v>
          </cell>
          <cell r="D52" t="str">
            <v>West</v>
          </cell>
          <cell r="E52" t="str">
            <v>Inactive</v>
          </cell>
          <cell r="F52" t="str">
            <v>Bhiwandi</v>
          </cell>
          <cell r="G52" t="str">
            <v>Maharashtra</v>
          </cell>
          <cell r="H52" t="str">
            <v>FMSC</v>
          </cell>
          <cell r="I52" t="str">
            <v>Kerry Indev Logistics Private Limited</v>
          </cell>
          <cell r="J52" t="str">
            <v>Nil</v>
          </cell>
        </row>
        <row r="53">
          <cell r="C53" t="str">
            <v>PPS</v>
          </cell>
          <cell r="D53" t="str">
            <v>East</v>
          </cell>
          <cell r="E53" t="str">
            <v>Inactive</v>
          </cell>
          <cell r="F53" t="str">
            <v>Patna</v>
          </cell>
          <cell r="G53" t="str">
            <v>Bihar</v>
          </cell>
          <cell r="H53" t="str">
            <v>LMSC</v>
          </cell>
          <cell r="I53" t="str">
            <v>Ecom Express Limited</v>
          </cell>
          <cell r="J53" t="str">
            <v>Nil</v>
          </cell>
        </row>
        <row r="54">
          <cell r="C54" t="str">
            <v>SES</v>
          </cell>
          <cell r="D54" t="str">
            <v>West</v>
          </cell>
          <cell r="E54" t="str">
            <v>Active</v>
          </cell>
          <cell r="F54" t="str">
            <v>Surat</v>
          </cell>
          <cell r="G54" t="str">
            <v>Gujarat</v>
          </cell>
          <cell r="H54" t="str">
            <v>FMSC</v>
          </cell>
          <cell r="I54" t="str">
            <v>Apollo Supply Chain Pvt Ltd</v>
          </cell>
          <cell r="J54" t="str">
            <v>ajoy.kundu@apollosupplychain.com</v>
          </cell>
        </row>
        <row r="55">
          <cell r="C55" t="str">
            <v>MIS</v>
          </cell>
          <cell r="D55" t="str">
            <v>West</v>
          </cell>
          <cell r="E55" t="str">
            <v>Active</v>
          </cell>
          <cell r="F55" t="str">
            <v>Bhiwandi</v>
          </cell>
          <cell r="G55" t="str">
            <v>Maharashtra</v>
          </cell>
          <cell r="H55" t="str">
            <v>FMSC</v>
          </cell>
          <cell r="I55" t="str">
            <v>CJDarcl India Pvt Ltd</v>
          </cell>
          <cell r="J55" t="str">
            <v xml:space="preserve">imtiyaz.alam@cjdarcl.com </v>
          </cell>
        </row>
        <row r="56">
          <cell r="C56" t="str">
            <v>LAS</v>
          </cell>
          <cell r="D56" t="str">
            <v>North</v>
          </cell>
          <cell r="E56" t="str">
            <v>Active</v>
          </cell>
          <cell r="F56" t="str">
            <v>Ludhiana</v>
          </cell>
          <cell r="G56" t="str">
            <v>Punjab</v>
          </cell>
          <cell r="H56" t="str">
            <v>FMSC</v>
          </cell>
          <cell r="I56" t="str">
            <v>Shree Maruti Integrated Logistics Limited</v>
          </cell>
          <cell r="J56" t="str">
            <v>jitendra.arya@shreemaruti.com</v>
          </cell>
        </row>
        <row r="57">
          <cell r="C57" t="str">
            <v>JJS</v>
          </cell>
          <cell r="D57" t="str">
            <v>West</v>
          </cell>
          <cell r="E57" t="str">
            <v>Active</v>
          </cell>
          <cell r="F57" t="str">
            <v>Jodhpur</v>
          </cell>
          <cell r="G57" t="str">
            <v>Rajasthan</v>
          </cell>
          <cell r="H57" t="str">
            <v>LMSC</v>
          </cell>
          <cell r="I57" t="str">
            <v>SHREE VASU LOGISTICS LTD</v>
          </cell>
          <cell r="J57" t="str">
            <v>mukesh@shreevasulogistics.com</v>
          </cell>
        </row>
        <row r="58">
          <cell r="C58" t="str">
            <v>GUS</v>
          </cell>
          <cell r="D58" t="str">
            <v>North</v>
          </cell>
          <cell r="E58" t="str">
            <v>Active</v>
          </cell>
          <cell r="F58" t="str">
            <v>Ghaziabad</v>
          </cell>
          <cell r="G58" t="str">
            <v>Uttar Pradesh</v>
          </cell>
          <cell r="H58" t="str">
            <v>FMSC</v>
          </cell>
          <cell r="I58" t="str">
            <v>CJDarcl India Pvt Ltd</v>
          </cell>
          <cell r="J58" t="str">
            <v>dasna_cjdarcl_sc@cjdarcl.com</v>
          </cell>
        </row>
        <row r="59">
          <cell r="C59" t="str">
            <v>DGS1</v>
          </cell>
          <cell r="D59" t="str">
            <v>North</v>
          </cell>
          <cell r="E59" t="str">
            <v>Active</v>
          </cell>
          <cell r="F59" t="str">
            <v>Ghaziabad</v>
          </cell>
          <cell r="G59" t="str">
            <v>Uttar Pradesh</v>
          </cell>
          <cell r="H59" t="str">
            <v>Gateway</v>
          </cell>
          <cell r="I59" t="str">
            <v>DP World Express Logistics Private Limited</v>
          </cell>
          <cell r="J59" t="str">
            <v>Vineet.kumar@dpworld.com</v>
          </cell>
        </row>
        <row r="60">
          <cell r="C60" t="str">
            <v>TVNS</v>
          </cell>
          <cell r="D60" t="str">
            <v>North</v>
          </cell>
          <cell r="E60" t="str">
            <v>Inactive</v>
          </cell>
          <cell r="F60" t="str">
            <v>Ghaziabad</v>
          </cell>
          <cell r="G60" t="str">
            <v>Uttar Pradesh</v>
          </cell>
          <cell r="H60" t="str">
            <v>LMSC</v>
          </cell>
          <cell r="I60" t="str">
            <v>CJDarcl India Pvt Ltd</v>
          </cell>
          <cell r="J60" t="str">
            <v>dasna_cjdarcl_sc@cjdarcl.com</v>
          </cell>
        </row>
        <row r="61">
          <cell r="C61" t="str">
            <v>INS</v>
          </cell>
          <cell r="D61" t="str">
            <v>West</v>
          </cell>
          <cell r="E61" t="str">
            <v>Inactive</v>
          </cell>
          <cell r="F61" t="str">
            <v>Indore</v>
          </cell>
          <cell r="G61" t="str">
            <v>Madhya Pradesh</v>
          </cell>
          <cell r="H61" t="str">
            <v>LMSC</v>
          </cell>
          <cell r="I61" t="str">
            <v>INFINITY SOLUTATION</v>
          </cell>
          <cell r="J61" t="str">
            <v>head.ops@infinitysolutionsindia.com</v>
          </cell>
        </row>
        <row r="62">
          <cell r="C62" t="str">
            <v>EBS</v>
          </cell>
          <cell r="D62" t="str">
            <v>North</v>
          </cell>
          <cell r="E62" t="str">
            <v>Inactive</v>
          </cell>
          <cell r="F62" t="str">
            <v>Ballabhgarh</v>
          </cell>
          <cell r="G62" t="str">
            <v>Haryana</v>
          </cell>
          <cell r="H62" t="str">
            <v>FMSC</v>
          </cell>
          <cell r="I62" t="str">
            <v>Ecom Express Limited</v>
          </cell>
          <cell r="J62" t="str">
            <v>manoj.jha@ecomexpress.in , manojsom@ecomexpress.in , Gaurav.s@ecomexpress.in , Kshitij.g@ecomexpress.in</v>
          </cell>
        </row>
        <row r="63">
          <cell r="C63" t="str">
            <v>KYS</v>
          </cell>
          <cell r="D63" t="str">
            <v>South</v>
          </cell>
          <cell r="E63" t="str">
            <v>Inactive</v>
          </cell>
          <cell r="F63" t="str">
            <v>Kochi</v>
          </cell>
          <cell r="G63" t="str">
            <v>Kerala</v>
          </cell>
          <cell r="H63" t="str">
            <v>LMSC</v>
          </cell>
          <cell r="I63" t="str">
            <v>Shree Maruti Integrated Logistics Limited</v>
          </cell>
          <cell r="J63" t="str">
            <v xml:space="preserve">bhupendra.singh@shreemaruti.com </v>
          </cell>
        </row>
        <row r="64">
          <cell r="C64" t="str">
            <v>NCRS</v>
          </cell>
          <cell r="D64" t="str">
            <v>North</v>
          </cell>
          <cell r="E64" t="str">
            <v>Active</v>
          </cell>
          <cell r="F64" t="str">
            <v>Delhi</v>
          </cell>
          <cell r="G64" t="str">
            <v>Delhi</v>
          </cell>
          <cell r="H64" t="str">
            <v>LMSC</v>
          </cell>
          <cell r="I64" t="str">
            <v>Jambulogix Private Limited</v>
          </cell>
          <cell r="J64" t="str">
            <v>Ops@jambulogix.com</v>
          </cell>
        </row>
        <row r="65">
          <cell r="C65" t="str">
            <v>HYS</v>
          </cell>
          <cell r="D65" t="str">
            <v>South</v>
          </cell>
          <cell r="E65" t="str">
            <v>Inactive</v>
          </cell>
          <cell r="F65" t="str">
            <v>Hyderabad</v>
          </cell>
          <cell r="G65" t="str">
            <v>Telangana</v>
          </cell>
          <cell r="H65" t="str">
            <v>LMSC</v>
          </cell>
          <cell r="I65" t="str">
            <v>Allcargo Supply Chain Pvt. Ltd.</v>
          </cell>
          <cell r="J65" t="str">
            <v>pilligundla.murari@allcargosupplychain.com</v>
          </cell>
        </row>
        <row r="66">
          <cell r="C66" t="str">
            <v>VSS</v>
          </cell>
          <cell r="D66" t="str">
            <v>North</v>
          </cell>
          <cell r="E66" t="str">
            <v>Active</v>
          </cell>
          <cell r="F66" t="str">
            <v>Varanasi</v>
          </cell>
          <cell r="G66" t="str">
            <v>Uttar Pradesh</v>
          </cell>
          <cell r="H66" t="str">
            <v>LMSC</v>
          </cell>
          <cell r="I66" t="str">
            <v>Ntex Transportation Services Pvt Ltd.</v>
          </cell>
          <cell r="J66" t="str">
            <v>controltower@elastic.run</v>
          </cell>
        </row>
        <row r="67">
          <cell r="C67" t="str">
            <v>HJS</v>
          </cell>
          <cell r="D67" t="str">
            <v>East</v>
          </cell>
          <cell r="E67" t="str">
            <v>Inactive</v>
          </cell>
          <cell r="F67" t="str">
            <v>Hajipur</v>
          </cell>
          <cell r="G67" t="str">
            <v>Bihar</v>
          </cell>
          <cell r="H67" t="str">
            <v>LMSC</v>
          </cell>
          <cell r="I67" t="str">
            <v>DP World Express Logistics Private Limited</v>
          </cell>
          <cell r="J67" t="str">
            <v xml:space="preserve">VikashKumar.Singh@dpworld.com </v>
          </cell>
        </row>
        <row r="68">
          <cell r="C68" t="str">
            <v>ESS</v>
          </cell>
          <cell r="D68" t="str">
            <v>West</v>
          </cell>
          <cell r="E68" t="str">
            <v>Inactive</v>
          </cell>
          <cell r="F68" t="str">
            <v>Surat</v>
          </cell>
          <cell r="G68" t="str">
            <v>Gujarat</v>
          </cell>
          <cell r="H68" t="str">
            <v>FMSC</v>
          </cell>
          <cell r="I68" t="str">
            <v>Ecom Express Limited</v>
          </cell>
          <cell r="J68" t="str">
            <v>amol.m@ecomexpress.in</v>
          </cell>
        </row>
        <row r="69">
          <cell r="C69" t="str">
            <v>EUS</v>
          </cell>
          <cell r="D69" t="str">
            <v>North</v>
          </cell>
          <cell r="E69" t="str">
            <v>Active</v>
          </cell>
          <cell r="F69" t="str">
            <v>Bareilly</v>
          </cell>
          <cell r="G69" t="str">
            <v>Uttar Pradesh</v>
          </cell>
          <cell r="H69" t="str">
            <v>LMSC</v>
          </cell>
          <cell r="I69" t="str">
            <v>Apollo Supply Chain Pvt Ltd</v>
          </cell>
          <cell r="J69" t="str">
            <v>meesho@apollosupplychain.com</v>
          </cell>
        </row>
        <row r="70">
          <cell r="C70" t="str">
            <v>EAS</v>
          </cell>
          <cell r="D70" t="str">
            <v>West</v>
          </cell>
          <cell r="E70" t="str">
            <v>Inactive</v>
          </cell>
          <cell r="F70" t="str">
            <v>Ahmedabad</v>
          </cell>
          <cell r="G70" t="str">
            <v>Gujarat</v>
          </cell>
          <cell r="H70" t="str">
            <v>FMSC</v>
          </cell>
          <cell r="I70" t="str">
            <v>Ecom Express Limited</v>
          </cell>
          <cell r="J70" t="str">
            <v>marunikunj.n@ecomexpress.in</v>
          </cell>
        </row>
        <row r="71">
          <cell r="C71" t="str">
            <v>EPS</v>
          </cell>
          <cell r="D71" t="str">
            <v>East</v>
          </cell>
          <cell r="E71" t="str">
            <v>Inactive</v>
          </cell>
          <cell r="F71" t="str">
            <v>Patna</v>
          </cell>
          <cell r="G71" t="str">
            <v>Bihar</v>
          </cell>
          <cell r="H71" t="str">
            <v>LMSC</v>
          </cell>
          <cell r="I71" t="str">
            <v>Ecom Express Limited</v>
          </cell>
          <cell r="J71" t="str">
            <v>k.ashish@ecomexpress.in</v>
          </cell>
        </row>
        <row r="72">
          <cell r="C72" t="str">
            <v>RWS</v>
          </cell>
          <cell r="D72" t="str">
            <v>East</v>
          </cell>
          <cell r="E72" t="str">
            <v>Active</v>
          </cell>
          <cell r="F72" t="str">
            <v>Raniganj</v>
          </cell>
          <cell r="G72" t="str">
            <v>West Bengal</v>
          </cell>
          <cell r="H72" t="str">
            <v>LMSC</v>
          </cell>
          <cell r="I72" t="str">
            <v>Kapoor Diesels Garage Pvt. Ltd.</v>
          </cell>
          <cell r="J72" t="str">
            <v>manish.khanduja@kapoordiesels.com</v>
          </cell>
        </row>
        <row r="73">
          <cell r="C73" t="str">
            <v>PYS</v>
          </cell>
          <cell r="D73" t="str">
            <v>West</v>
          </cell>
          <cell r="E73" t="str">
            <v>Active</v>
          </cell>
          <cell r="F73" t="str">
            <v>Pune</v>
          </cell>
          <cell r="G73" t="str">
            <v>Maharashtra</v>
          </cell>
          <cell r="H73" t="str">
            <v>LMSC</v>
          </cell>
          <cell r="I73" t="str">
            <v>Ntex Transportation Services Pvt Ltd.</v>
          </cell>
          <cell r="J73" t="str">
            <v>ashok.kumar@elastic.run</v>
          </cell>
        </row>
        <row r="74">
          <cell r="C74" t="str">
            <v>RRS</v>
          </cell>
          <cell r="D74" t="str">
            <v>West</v>
          </cell>
          <cell r="E74" t="str">
            <v>Active</v>
          </cell>
          <cell r="F74" t="str">
            <v>Raipur</v>
          </cell>
          <cell r="G74" t="str">
            <v>chhatisgarh</v>
          </cell>
          <cell r="H74" t="str">
            <v>LMSC</v>
          </cell>
          <cell r="I74" t="str">
            <v>SHREE VASU LOGISTICS LTD</v>
          </cell>
          <cell r="J74" t="str">
            <v>Warehouseincharge.rpr@shreevasulogistics.com</v>
          </cell>
        </row>
        <row r="75">
          <cell r="C75" t="str">
            <v>TLS</v>
          </cell>
          <cell r="D75" t="str">
            <v>North</v>
          </cell>
          <cell r="E75" t="str">
            <v>Inactive</v>
          </cell>
          <cell r="F75" t="str">
            <v>Lucknow</v>
          </cell>
          <cell r="G75" t="str">
            <v>Uttar Pradesh</v>
          </cell>
          <cell r="H75" t="str">
            <v>LMSC</v>
          </cell>
          <cell r="I75" t="str">
            <v>XpressBees</v>
          </cell>
          <cell r="J75" t="str">
            <v>amit.tripathi@xpressbees.com</v>
          </cell>
        </row>
        <row r="76">
          <cell r="C76" t="str">
            <v>TWS</v>
          </cell>
          <cell r="D76" t="str">
            <v>North</v>
          </cell>
          <cell r="E76" t="str">
            <v>Inactive</v>
          </cell>
          <cell r="F76" t="str">
            <v>Gurugram</v>
          </cell>
          <cell r="G76" t="str">
            <v>Haryana</v>
          </cell>
          <cell r="H76" t="str">
            <v>FMSC</v>
          </cell>
          <cell r="I76" t="str">
            <v>XpressBees</v>
          </cell>
          <cell r="J76" t="str">
            <v>Abhishek.singh1@xpressbees.com</v>
          </cell>
        </row>
        <row r="77">
          <cell r="C77" t="str">
            <v>TGS</v>
          </cell>
          <cell r="D77" t="str">
            <v>North</v>
          </cell>
          <cell r="E77" t="str">
            <v>Inactive</v>
          </cell>
          <cell r="F77" t="str">
            <v>Ghaziabad</v>
          </cell>
          <cell r="G77" t="str">
            <v>Uttar Pradesh</v>
          </cell>
          <cell r="H77" t="str">
            <v>LMSC</v>
          </cell>
          <cell r="I77" t="str">
            <v>XpressBees</v>
          </cell>
          <cell r="J77" t="str">
            <v>Himanshu.negi@xpressbees.com</v>
          </cell>
        </row>
        <row r="78">
          <cell r="C78" t="str">
            <v>GTS</v>
          </cell>
          <cell r="D78" t="str">
            <v>North</v>
          </cell>
          <cell r="E78" t="str">
            <v>Active</v>
          </cell>
          <cell r="F78" t="str">
            <v>Gorakhpur</v>
          </cell>
          <cell r="G78" t="str">
            <v>Uttar Pradesh</v>
          </cell>
          <cell r="H78" t="str">
            <v>LMSC</v>
          </cell>
          <cell r="I78" t="str">
            <v>Warehouse Now</v>
          </cell>
          <cell r="J78" t="str">
            <v>mehul.lad@warehousenow.in</v>
          </cell>
        </row>
        <row r="79">
          <cell r="C79" t="str">
            <v>HWS</v>
          </cell>
          <cell r="D79" t="str">
            <v>East</v>
          </cell>
          <cell r="E79" t="str">
            <v>Active</v>
          </cell>
          <cell r="F79" t="str">
            <v>Howrah</v>
          </cell>
          <cell r="G79" t="str">
            <v>West Bengal</v>
          </cell>
          <cell r="H79" t="str">
            <v>FMSC</v>
          </cell>
          <cell r="I79" t="str">
            <v>DeliveryPlus</v>
          </cell>
          <cell r="J79" t="str">
            <v>hws_wh@deliveryplus.in</v>
          </cell>
        </row>
        <row r="80">
          <cell r="C80" t="str">
            <v>SU8S</v>
          </cell>
          <cell r="D80" t="str">
            <v>West</v>
          </cell>
          <cell r="E80" t="str">
            <v>Active</v>
          </cell>
          <cell r="F80" t="str">
            <v>Surat</v>
          </cell>
          <cell r="G80" t="str">
            <v>Gujarat</v>
          </cell>
          <cell r="H80" t="str">
            <v>FMSC</v>
          </cell>
          <cell r="I80" t="str">
            <v>SHREE VASU LOGISTICS LTD</v>
          </cell>
          <cell r="J80" t="str">
            <v>Warehouseincharge.sur@shreevasulogistics.in</v>
          </cell>
        </row>
        <row r="81">
          <cell r="C81" t="str">
            <v>SU9S</v>
          </cell>
          <cell r="D81" t="str">
            <v>West</v>
          </cell>
          <cell r="E81" t="str">
            <v>Active</v>
          </cell>
          <cell r="F81" t="str">
            <v>Surat</v>
          </cell>
          <cell r="G81" t="str">
            <v>Gujarat</v>
          </cell>
          <cell r="H81" t="str">
            <v>FMSC</v>
          </cell>
          <cell r="I81" t="str">
            <v>FIBS Logistics India Private Limited</v>
          </cell>
          <cell r="J81" t="str">
            <v>it.rajkot@fibs-logistics.com</v>
          </cell>
        </row>
        <row r="82">
          <cell r="C82" t="str">
            <v>JTS</v>
          </cell>
          <cell r="D82" t="str">
            <v>West</v>
          </cell>
          <cell r="E82" t="str">
            <v>Active</v>
          </cell>
          <cell r="F82" t="str">
            <v>Jaipur</v>
          </cell>
          <cell r="G82" t="str">
            <v>Rajasthan</v>
          </cell>
          <cell r="H82" t="str">
            <v>FMSC</v>
          </cell>
          <cell r="I82" t="str">
            <v>Ntex Transportation Services Pvt Ltd.</v>
          </cell>
          <cell r="J82" t="str">
            <v>Sahil.jayaswal@elastic.run</v>
          </cell>
        </row>
        <row r="83">
          <cell r="C83" t="str">
            <v>S10S</v>
          </cell>
          <cell r="D83" t="str">
            <v>West</v>
          </cell>
          <cell r="E83" t="str">
            <v>Active</v>
          </cell>
          <cell r="F83" t="str">
            <v>Surat</v>
          </cell>
          <cell r="G83" t="str">
            <v>Gujarat</v>
          </cell>
          <cell r="H83" t="str">
            <v>FMSC</v>
          </cell>
          <cell r="I83" t="str">
            <v>Ntex Transportation Services Pvt Ltd.</v>
          </cell>
          <cell r="J83" t="str">
            <v>yogesh.kumarkar@elastic.run</v>
          </cell>
        </row>
        <row r="84">
          <cell r="C84" t="str">
            <v>CTS</v>
          </cell>
          <cell r="D84" t="str">
            <v>South</v>
          </cell>
          <cell r="E84" t="str">
            <v>Active</v>
          </cell>
          <cell r="F84" t="str">
            <v>Coimbatore</v>
          </cell>
          <cell r="G84" t="str">
            <v>Tamil Nadu</v>
          </cell>
          <cell r="H84" t="str">
            <v>LMSC</v>
          </cell>
          <cell r="I84" t="str">
            <v>Intelligent Retail Private Limited [ Ripplr ]</v>
          </cell>
          <cell r="J84" t="str">
            <v>dilip.r@ripplr.in</v>
          </cell>
        </row>
        <row r="85">
          <cell r="C85" t="str">
            <v>HTS</v>
          </cell>
          <cell r="D85" t="str">
            <v>East</v>
          </cell>
          <cell r="E85" t="str">
            <v>Active</v>
          </cell>
          <cell r="F85" t="str">
            <v>Howrah</v>
          </cell>
          <cell r="G85" t="str">
            <v>West Bengal</v>
          </cell>
          <cell r="H85" t="str">
            <v>LMSC</v>
          </cell>
          <cell r="I85" t="str">
            <v>Shree Maruti Integrated Logistics Limited</v>
          </cell>
          <cell r="J85" t="str">
            <v>groups@shreemaruti.com</v>
          </cell>
        </row>
        <row r="86">
          <cell r="C86" t="str">
            <v>HUS</v>
          </cell>
          <cell r="D86" t="str">
            <v>North</v>
          </cell>
          <cell r="E86" t="str">
            <v>Active</v>
          </cell>
          <cell r="F86" t="str">
            <v>Kharkoda</v>
          </cell>
          <cell r="G86" t="str">
            <v>Haryana</v>
          </cell>
          <cell r="H86" t="str">
            <v>FMSC</v>
          </cell>
          <cell r="I86" t="str">
            <v>Kapoor Diesels Garage Pvt. Ltd.</v>
          </cell>
          <cell r="J86" t="str">
            <v>manish.kr@kapoordiesels.com</v>
          </cell>
        </row>
        <row r="87">
          <cell r="C87" t="str">
            <v>LCS</v>
          </cell>
          <cell r="D87" t="str">
            <v>North</v>
          </cell>
          <cell r="E87" t="str">
            <v>Active</v>
          </cell>
          <cell r="F87" t="str">
            <v>Lucknow</v>
          </cell>
          <cell r="G87" t="str">
            <v>Uttar Pradesh</v>
          </cell>
          <cell r="H87" t="str">
            <v>LMSC</v>
          </cell>
          <cell r="I87" t="str">
            <v>V2V Supply Chain Pvt Ltd</v>
          </cell>
          <cell r="J87" t="str">
            <v>ashish.singh@v2vsupplychains.com</v>
          </cell>
        </row>
        <row r="88">
          <cell r="C88" t="str">
            <v>GVS</v>
          </cell>
          <cell r="D88" t="str">
            <v>East</v>
          </cell>
          <cell r="E88" t="str">
            <v>Active</v>
          </cell>
          <cell r="F88" t="str">
            <v>Guwahati</v>
          </cell>
          <cell r="G88" t="str">
            <v>Assam</v>
          </cell>
          <cell r="H88" t="str">
            <v>LMSC</v>
          </cell>
          <cell r="I88" t="str">
            <v>Progex Logistics Private Limited</v>
          </cell>
          <cell r="J88" t="str">
            <v>arun.b@progex.in</v>
          </cell>
        </row>
        <row r="89">
          <cell r="C89" t="str">
            <v>A2S</v>
          </cell>
          <cell r="D89" t="str">
            <v>West</v>
          </cell>
          <cell r="E89" t="str">
            <v>Active</v>
          </cell>
          <cell r="F89" t="str">
            <v>Ahmedabad</v>
          </cell>
          <cell r="G89" t="str">
            <v>Gujarat</v>
          </cell>
          <cell r="H89" t="str">
            <v>Hybrid</v>
          </cell>
          <cell r="I89" t="str">
            <v>FREIGHT SYSTEMS INDIA PRIVATE LIMITED</v>
          </cell>
          <cell r="J89" t="str">
            <v>devkishan.sharma@freightsystems.com</v>
          </cell>
        </row>
        <row r="90">
          <cell r="C90" t="str">
            <v>CFS</v>
          </cell>
          <cell r="D90" t="str">
            <v>South</v>
          </cell>
          <cell r="E90" t="str">
            <v>Active</v>
          </cell>
          <cell r="F90" t="str">
            <v>Coimbatore</v>
          </cell>
          <cell r="G90" t="str">
            <v>Tamil Nadu</v>
          </cell>
          <cell r="H90" t="str">
            <v>LMSC</v>
          </cell>
          <cell r="I90" t="str">
            <v>SHREE VASU LOGISTICS LTD</v>
          </cell>
          <cell r="J90" t="str">
            <v>meeshocoimbatore@shreevasulogistics.in</v>
          </cell>
        </row>
        <row r="91">
          <cell r="C91" t="str">
            <v>POS</v>
          </cell>
          <cell r="D91" t="str">
            <v>East</v>
          </cell>
          <cell r="E91" t="str">
            <v>Active</v>
          </cell>
          <cell r="F91" t="str">
            <v>Patna</v>
          </cell>
          <cell r="G91" t="str">
            <v>Bihar</v>
          </cell>
          <cell r="H91" t="str">
            <v>LMSC</v>
          </cell>
          <cell r="I91" t="str">
            <v>Apollo Supply Chain Pvt Ltd</v>
          </cell>
          <cell r="J91" t="str">
            <v>nitesh.ranjan@apollosupplychain.com</v>
          </cell>
        </row>
        <row r="92">
          <cell r="C92" t="str">
            <v>ZPS</v>
          </cell>
          <cell r="D92" t="str">
            <v>North</v>
          </cell>
          <cell r="E92" t="str">
            <v>Inactive</v>
          </cell>
          <cell r="F92" t="str">
            <v>Zirakpur</v>
          </cell>
          <cell r="G92" t="str">
            <v>Punjab</v>
          </cell>
          <cell r="H92" t="str">
            <v>LMSC</v>
          </cell>
          <cell r="I92" t="str">
            <v>Anamika Trade Links Pvt. Ltd.</v>
          </cell>
          <cell r="J92" t="str">
            <v>mail@anamikagroup.com</v>
          </cell>
        </row>
        <row r="93">
          <cell r="C93" t="str">
            <v>CIS</v>
          </cell>
          <cell r="D93" t="str">
            <v>South</v>
          </cell>
          <cell r="E93" t="str">
            <v>Active</v>
          </cell>
          <cell r="F93" t="str">
            <v>Chennai</v>
          </cell>
          <cell r="G93" t="str">
            <v>Tamil Nadu</v>
          </cell>
          <cell r="H93" t="str">
            <v>LMSC</v>
          </cell>
          <cell r="I93" t="str">
            <v>DeliveryPlus</v>
          </cell>
          <cell r="J93" t="str">
            <v>SC_Update@deliveryplus.in</v>
          </cell>
        </row>
        <row r="94">
          <cell r="C94" t="str">
            <v>CYS</v>
          </cell>
          <cell r="D94" t="str">
            <v>South</v>
          </cell>
          <cell r="E94" t="str">
            <v>Inactive</v>
          </cell>
          <cell r="F94" t="str">
            <v>Coimbatore</v>
          </cell>
          <cell r="G94" t="str">
            <v>Tamil Nadu</v>
          </cell>
          <cell r="H94" t="str">
            <v>LMSC</v>
          </cell>
          <cell r="I94" t="str">
            <v xml:space="preserve">SCINNTC SUPPLY CHAIN SOLUTIONS PRIVATE LIMITED </v>
          </cell>
          <cell r="J94" t="str">
            <v>nithish.kumar@scinntc.com</v>
          </cell>
        </row>
        <row r="95">
          <cell r="C95" t="str">
            <v>IMS</v>
          </cell>
          <cell r="D95" t="str">
            <v>South</v>
          </cell>
          <cell r="E95" t="str">
            <v>Active</v>
          </cell>
          <cell r="F95" t="str">
            <v>Madurai</v>
          </cell>
          <cell r="G95" t="str">
            <v>Tamil Nadu</v>
          </cell>
          <cell r="H95" t="str">
            <v>LMSC</v>
          </cell>
          <cell r="I95" t="str">
            <v>Sitics Logistic Solutions Pvt. Ltd.</v>
          </cell>
          <cell r="J95" t="str">
            <v>dhinesh.kumar@sitics.co</v>
          </cell>
        </row>
        <row r="96">
          <cell r="C96" t="str">
            <v>RFS</v>
          </cell>
          <cell r="D96" t="str">
            <v>West</v>
          </cell>
          <cell r="E96" t="str">
            <v>Active</v>
          </cell>
          <cell r="F96" t="str">
            <v>Rajkot</v>
          </cell>
          <cell r="G96" t="str">
            <v>Gujarat</v>
          </cell>
          <cell r="H96" t="str">
            <v>FMSC</v>
          </cell>
          <cell r="I96" t="str">
            <v>DP World Express Logistics Private Limited</v>
          </cell>
          <cell r="J96" t="str">
            <v>dipak.kulathe@dpworld.com</v>
          </cell>
        </row>
        <row r="97">
          <cell r="C97" t="str">
            <v>JFS</v>
          </cell>
          <cell r="D97" t="str">
            <v>West</v>
          </cell>
          <cell r="E97" t="str">
            <v>Active</v>
          </cell>
          <cell r="F97" t="str">
            <v>Jaipur</v>
          </cell>
          <cell r="G97" t="str">
            <v>Rajasthan</v>
          </cell>
          <cell r="H97" t="str">
            <v>FMSC</v>
          </cell>
          <cell r="I97" t="str">
            <v>Intelligent Retail Private Limited [ Ripplr ]</v>
          </cell>
          <cell r="J97" t="str">
            <v>Dilip.R@ripplr.in</v>
          </cell>
        </row>
        <row r="98">
          <cell r="C98" t="str">
            <v>JVS</v>
          </cell>
          <cell r="D98" t="str">
            <v>West</v>
          </cell>
          <cell r="E98" t="str">
            <v>Inactive</v>
          </cell>
          <cell r="F98" t="str">
            <v>Jaipur</v>
          </cell>
          <cell r="G98" t="str">
            <v>Rajasthan</v>
          </cell>
          <cell r="H98" t="str">
            <v>LMSC</v>
          </cell>
          <cell r="I98" t="str">
            <v>Amaze solutions</v>
          </cell>
          <cell r="J98" t="str">
            <v>gagan.deep@asnmcare.com</v>
          </cell>
        </row>
        <row r="99">
          <cell r="C99" t="str">
            <v>NNS</v>
          </cell>
          <cell r="D99" t="str">
            <v>West</v>
          </cell>
          <cell r="E99" t="str">
            <v>Active</v>
          </cell>
          <cell r="F99" t="str">
            <v>Nagpur</v>
          </cell>
          <cell r="G99" t="str">
            <v>Maharashtra</v>
          </cell>
          <cell r="H99" t="str">
            <v>LMSC</v>
          </cell>
          <cell r="I99" t="str">
            <v>Gotek Logistics Private Limited</v>
          </cell>
          <cell r="J99" t="str">
            <v>prashanth.b@isalogistics.in</v>
          </cell>
        </row>
        <row r="100">
          <cell r="C100" t="str">
            <v>PVS</v>
          </cell>
          <cell r="D100" t="str">
            <v>North</v>
          </cell>
          <cell r="E100" t="str">
            <v>Active</v>
          </cell>
          <cell r="F100" t="str">
            <v>Palwal</v>
          </cell>
          <cell r="G100" t="str">
            <v>Haryana</v>
          </cell>
          <cell r="H100" t="str">
            <v>LMSC</v>
          </cell>
          <cell r="I100" t="str">
            <v>Seabird</v>
          </cell>
          <cell r="J100" t="str">
            <v>rajender.s@seabird.co.in</v>
          </cell>
        </row>
        <row r="101">
          <cell r="C101" t="str">
            <v>RTS</v>
          </cell>
          <cell r="D101" t="str">
            <v>West</v>
          </cell>
          <cell r="E101" t="str">
            <v>Active</v>
          </cell>
          <cell r="F101" t="str">
            <v>Rajkot</v>
          </cell>
          <cell r="G101" t="str">
            <v>Gujarat</v>
          </cell>
          <cell r="H101" t="str">
            <v>LMSC</v>
          </cell>
          <cell r="I101" t="str">
            <v>SHREE HARI ENTERPRISE</v>
          </cell>
          <cell r="J101" t="str">
            <v>shreeharienterprise916@gmail.com</v>
          </cell>
        </row>
        <row r="102">
          <cell r="C102" t="str">
            <v>NKS</v>
          </cell>
          <cell r="D102" t="str">
            <v>West</v>
          </cell>
          <cell r="E102" t="str">
            <v>Active</v>
          </cell>
          <cell r="F102" t="str">
            <v>Nashik</v>
          </cell>
          <cell r="G102" t="str">
            <v>Maharashtra</v>
          </cell>
          <cell r="H102" t="str">
            <v>LMSC</v>
          </cell>
          <cell r="I102" t="str">
            <v>Probity Logistics</v>
          </cell>
          <cell r="J102" t="str">
            <v>hiren@probitylogistics.in</v>
          </cell>
        </row>
        <row r="103">
          <cell r="C103" t="str">
            <v>SGS1</v>
          </cell>
          <cell r="D103" t="str">
            <v>West</v>
          </cell>
          <cell r="E103" t="str">
            <v>Active</v>
          </cell>
          <cell r="F103" t="str">
            <v>Surat</v>
          </cell>
          <cell r="G103" t="str">
            <v>Gujarat</v>
          </cell>
          <cell r="H103" t="str">
            <v>Gateway</v>
          </cell>
          <cell r="I103" t="str">
            <v>SHREE VASU LOGISTICS LTD</v>
          </cell>
          <cell r="J103" t="str">
            <v>cdwarehouseincharge.sur@shreevasulogistics.in</v>
          </cell>
        </row>
        <row r="104">
          <cell r="C104" t="str">
            <v>SU7S</v>
          </cell>
          <cell r="D104" t="str">
            <v>West</v>
          </cell>
          <cell r="E104" t="str">
            <v>Active</v>
          </cell>
          <cell r="F104" t="str">
            <v>Surat</v>
          </cell>
          <cell r="G104" t="str">
            <v>Gujarat</v>
          </cell>
          <cell r="H104" t="str">
            <v>FMSC</v>
          </cell>
          <cell r="I104" t="str">
            <v>Ethics Prosperity Pvt. Ltd.</v>
          </cell>
          <cell r="J104" t="str">
            <v>mudit.goyal@ethicsgroup.in</v>
          </cell>
        </row>
        <row r="105">
          <cell r="C105" t="str">
            <v>FUS</v>
          </cell>
          <cell r="D105" t="str">
            <v>North</v>
          </cell>
          <cell r="E105" t="str">
            <v>Active</v>
          </cell>
          <cell r="F105" t="str">
            <v>Farukhnagar</v>
          </cell>
          <cell r="G105" t="str">
            <v>Haryana</v>
          </cell>
          <cell r="H105" t="str">
            <v>FMSC</v>
          </cell>
          <cell r="I105" t="str">
            <v>Schenker India Private Limited</v>
          </cell>
          <cell r="J105" t="str">
            <v>anil.a.kumar@dbschenker.com</v>
          </cell>
        </row>
        <row r="106">
          <cell r="C106" t="str">
            <v>SNPS</v>
          </cell>
          <cell r="D106" t="str">
            <v>North</v>
          </cell>
          <cell r="E106" t="str">
            <v>Active</v>
          </cell>
          <cell r="F106" t="str">
            <v>Sonipat</v>
          </cell>
          <cell r="G106" t="str">
            <v>Haryana</v>
          </cell>
          <cell r="H106" t="str">
            <v>LMSC</v>
          </cell>
          <cell r="I106" t="str">
            <v>Jambulogix Private Limited</v>
          </cell>
          <cell r="J106" t="str">
            <v>ops@jambulogix.com</v>
          </cell>
        </row>
        <row r="107">
          <cell r="C107" t="str">
            <v>AGRS</v>
          </cell>
          <cell r="D107" t="str">
            <v>North</v>
          </cell>
          <cell r="E107" t="str">
            <v>Active</v>
          </cell>
          <cell r="F107" t="str">
            <v>Agra</v>
          </cell>
          <cell r="G107" t="str">
            <v>Uttar Pradesh</v>
          </cell>
          <cell r="H107" t="str">
            <v>FMSC</v>
          </cell>
          <cell r="I107" t="str">
            <v>Parnami Logistics &amp; Packing Centre Pvt. Ltd</v>
          </cell>
          <cell r="J107" t="str">
            <v> manager.operations@parnamigroup-logistics.com</v>
          </cell>
        </row>
        <row r="108">
          <cell r="C108" t="str">
            <v>HYDS</v>
          </cell>
          <cell r="D108" t="str">
            <v>South</v>
          </cell>
          <cell r="E108" t="str">
            <v>Active</v>
          </cell>
          <cell r="F108" t="str">
            <v>Hyderabad</v>
          </cell>
          <cell r="G108" t="str">
            <v>Telangana</v>
          </cell>
          <cell r="H108" t="str">
            <v>LMSC</v>
          </cell>
          <cell r="I108" t="str">
            <v>MOGLI LABS ( INDIA ) PVT LTD</v>
          </cell>
          <cell r="J108" t="str">
            <v>logaprabhu.rajendran@moglix.com</v>
          </cell>
        </row>
        <row r="109">
          <cell r="C109" t="str">
            <v>DGS2</v>
          </cell>
          <cell r="D109" t="str">
            <v>North</v>
          </cell>
          <cell r="E109" t="str">
            <v>Active</v>
          </cell>
          <cell r="F109" t="str">
            <v>Farukhnagar</v>
          </cell>
          <cell r="G109" t="str">
            <v>Haryana</v>
          </cell>
          <cell r="H109" t="str">
            <v>Gateway</v>
          </cell>
          <cell r="I109" t="str">
            <v>Shree Maruti Integrated Logistics Limited</v>
          </cell>
          <cell r="J109" t="str">
            <v>reportdgs2@shreemaruti.com</v>
          </cell>
        </row>
        <row r="110">
          <cell r="C110" t="str">
            <v>KDPS</v>
          </cell>
          <cell r="D110" t="str">
            <v>South</v>
          </cell>
          <cell r="E110" t="str">
            <v>Active</v>
          </cell>
          <cell r="F110" t="str">
            <v>Kadapa</v>
          </cell>
          <cell r="G110" t="str">
            <v>Andhrapradesh</v>
          </cell>
          <cell r="H110" t="str">
            <v>LMSC</v>
          </cell>
          <cell r="I110" t="str">
            <v>Optimizing Resources Private Limited</v>
          </cell>
          <cell r="J110" t="str">
            <v>ujienamartin@warehousenow.in </v>
          </cell>
        </row>
        <row r="111">
          <cell r="C111" t="str">
            <v>FRDS</v>
          </cell>
          <cell r="D111" t="str">
            <v>North</v>
          </cell>
          <cell r="E111" t="str">
            <v>Active</v>
          </cell>
          <cell r="F111" t="str">
            <v>Faridabad</v>
          </cell>
          <cell r="G111" t="str">
            <v>Haryana</v>
          </cell>
          <cell r="H111" t="str">
            <v>FMSC</v>
          </cell>
          <cell r="I111" t="str">
            <v>Ntex Transportation Services Pvt Ltd.</v>
          </cell>
          <cell r="J111" t="str">
            <v>pankaj.mishra@elastic.run</v>
          </cell>
        </row>
        <row r="112">
          <cell r="C112" t="str">
            <v>JGS1</v>
          </cell>
          <cell r="D112" t="str">
            <v>West</v>
          </cell>
          <cell r="E112" t="str">
            <v>Active</v>
          </cell>
          <cell r="F112" t="str">
            <v>Jaipur</v>
          </cell>
          <cell r="G112" t="str">
            <v>Rajasthan</v>
          </cell>
          <cell r="H112" t="str">
            <v>Gateway</v>
          </cell>
          <cell r="I112" t="str">
            <v>Ntex Transportation Services Pvt Ltd.</v>
          </cell>
          <cell r="J112" t="str">
            <v>Sahil.jayaswal@elastic.run</v>
          </cell>
        </row>
        <row r="113">
          <cell r="C113" t="str">
            <v>BLRS</v>
          </cell>
          <cell r="D113" t="str">
            <v>South</v>
          </cell>
          <cell r="E113" t="str">
            <v>Inactive</v>
          </cell>
          <cell r="F113" t="str">
            <v>Bangalore</v>
          </cell>
          <cell r="G113" t="str">
            <v>Karnataka</v>
          </cell>
          <cell r="H113" t="str">
            <v>LMSC</v>
          </cell>
          <cell r="I113" t="str">
            <v>Access Warehousing Private Limited</v>
          </cell>
          <cell r="J113" t="str">
            <v>govindraj.sv@accessbizindia.com</v>
          </cell>
        </row>
        <row r="114">
          <cell r="C114" t="str">
            <v>HBLS</v>
          </cell>
          <cell r="D114" t="str">
            <v>South</v>
          </cell>
          <cell r="E114" t="str">
            <v>Active</v>
          </cell>
          <cell r="F114" t="str">
            <v>Hubli</v>
          </cell>
          <cell r="G114" t="str">
            <v>Karnataka</v>
          </cell>
          <cell r="H114" t="str">
            <v>LMSC</v>
          </cell>
          <cell r="I114" t="str">
            <v>FIBS Logistics India Private Limited</v>
          </cell>
          <cell r="J114" t="str">
            <v>Saurabh.kumar@fibs-logistics.com</v>
          </cell>
        </row>
        <row r="115">
          <cell r="C115" t="str">
            <v>HGS1</v>
          </cell>
          <cell r="D115" t="str">
            <v>South</v>
          </cell>
          <cell r="E115" t="str">
            <v>Active</v>
          </cell>
          <cell r="F115" t="str">
            <v>Medchal</v>
          </cell>
          <cell r="G115" t="str">
            <v>Telangana</v>
          </cell>
          <cell r="H115" t="str">
            <v>Gateway</v>
          </cell>
          <cell r="I115" t="str">
            <v>YCH Logistics (I) Pvt Ltd</v>
          </cell>
          <cell r="J115" t="str">
            <v>Aneeshbabu.b@ych.com</v>
          </cell>
        </row>
        <row r="116">
          <cell r="C116" t="str">
            <v>S11S</v>
          </cell>
          <cell r="D116" t="str">
            <v>West</v>
          </cell>
          <cell r="E116" t="str">
            <v>Active</v>
          </cell>
          <cell r="F116" t="str">
            <v>Surat</v>
          </cell>
          <cell r="G116" t="str">
            <v>Gujarat</v>
          </cell>
          <cell r="H116" t="str">
            <v>FMSC</v>
          </cell>
          <cell r="I116" t="str">
            <v>Shree Maruti Integrated Logistics Limited</v>
          </cell>
          <cell r="J116" t="str">
            <v>ezaz.shaikh@shreemaruti.com</v>
          </cell>
        </row>
        <row r="117">
          <cell r="C117" t="str">
            <v>SGRS</v>
          </cell>
          <cell r="D117" t="str">
            <v>West</v>
          </cell>
          <cell r="E117" t="str">
            <v>Inactive</v>
          </cell>
          <cell r="F117" t="str">
            <v>Sagar</v>
          </cell>
          <cell r="G117" t="str">
            <v>Madhya Pradesh</v>
          </cell>
          <cell r="H117" t="str">
            <v>LMSC</v>
          </cell>
          <cell r="I117" t="str">
            <v>DeliveryPlus</v>
          </cell>
          <cell r="J117" t="str">
            <v>ranjeetsingh@deliveryplus.co.in</v>
          </cell>
        </row>
        <row r="118">
          <cell r="C118" t="str">
            <v>KLPS</v>
          </cell>
          <cell r="D118" t="str">
            <v>West</v>
          </cell>
          <cell r="E118" t="str">
            <v>Active</v>
          </cell>
          <cell r="F118" t="str">
            <v>Kolhapur</v>
          </cell>
          <cell r="G118" t="str">
            <v>Maharashtra</v>
          </cell>
          <cell r="H118" t="str">
            <v>LMSC</v>
          </cell>
          <cell r="I118" t="str">
            <v>Baba express e com PVT LTD</v>
          </cell>
          <cell r="J118" t="str">
            <v>sarvesh@babaexpress.in</v>
          </cell>
        </row>
        <row r="119">
          <cell r="C119" t="str">
            <v>D15S</v>
          </cell>
          <cell r="D119" t="str">
            <v>North</v>
          </cell>
          <cell r="E119" t="str">
            <v>Active</v>
          </cell>
          <cell r="F119" t="str">
            <v>Meerut</v>
          </cell>
          <cell r="G119" t="str">
            <v>Uttar Pradesh</v>
          </cell>
          <cell r="H119" t="str">
            <v>FMSC</v>
          </cell>
          <cell r="I119" t="str">
            <v>Anamika Trade Links Pvt. Ltd.</v>
          </cell>
          <cell r="J119" t="str">
            <v>mail@anamikagroup.com</v>
          </cell>
        </row>
        <row r="120">
          <cell r="C120" t="str">
            <v>S12S</v>
          </cell>
          <cell r="D120" t="str">
            <v>West</v>
          </cell>
          <cell r="E120" t="str">
            <v>Active</v>
          </cell>
          <cell r="F120" t="str">
            <v>Surat</v>
          </cell>
          <cell r="G120" t="str">
            <v>Gujarat</v>
          </cell>
          <cell r="H120" t="str">
            <v>FMSC</v>
          </cell>
          <cell r="I120" t="str">
            <v>Intelligent Retail Private Limited [ Ripplr ]</v>
          </cell>
          <cell r="J120" t="str">
            <v>Javed.S@ripplr.in</v>
          </cell>
        </row>
        <row r="121">
          <cell r="C121" t="str">
            <v>BGUS</v>
          </cell>
          <cell r="D121" t="str">
            <v>East</v>
          </cell>
          <cell r="E121" t="str">
            <v>Active</v>
          </cell>
          <cell r="F121" t="str">
            <v>Begusarai</v>
          </cell>
          <cell r="G121" t="str">
            <v>Bihar</v>
          </cell>
          <cell r="H121" t="str">
            <v>LMSC</v>
          </cell>
          <cell r="I121" t="str">
            <v>V2V Supply Chain Pvt Ltd</v>
          </cell>
          <cell r="J121" t="str">
            <v>S.leekha@v2vsupplychains.com</v>
          </cell>
        </row>
        <row r="122">
          <cell r="C122" t="str">
            <v>LKFS</v>
          </cell>
          <cell r="D122" t="str">
            <v>North</v>
          </cell>
          <cell r="E122" t="str">
            <v>Inactive</v>
          </cell>
          <cell r="F122" t="str">
            <v>Lucknow</v>
          </cell>
          <cell r="G122" t="str">
            <v>Uttar Pradesh</v>
          </cell>
          <cell r="H122" t="str">
            <v>FMSC</v>
          </cell>
          <cell r="I122" t="str">
            <v>Kapoor Diesels Garage Pvt. Ltd.</v>
          </cell>
          <cell r="J122" t="str">
            <v>akhil.pal@kapoordiesels.com</v>
          </cell>
        </row>
        <row r="123">
          <cell r="C123" t="str">
            <v>D16S</v>
          </cell>
          <cell r="D123" t="str">
            <v>North</v>
          </cell>
          <cell r="E123" t="str">
            <v>Active</v>
          </cell>
          <cell r="F123" t="str">
            <v>Hisar</v>
          </cell>
          <cell r="G123" t="str">
            <v>Haryana</v>
          </cell>
          <cell r="H123" t="str">
            <v>FMSC</v>
          </cell>
          <cell r="I123" t="str">
            <v>DeliveryPlus</v>
          </cell>
          <cell r="J123" t="str">
            <v>ranjeetsingh@deliveryplus.co.in</v>
          </cell>
        </row>
        <row r="124">
          <cell r="C124" t="str">
            <v>SGS2</v>
          </cell>
          <cell r="D124" t="str">
            <v>West</v>
          </cell>
          <cell r="E124" t="str">
            <v>Active</v>
          </cell>
          <cell r="F124" t="str">
            <v>Surat</v>
          </cell>
          <cell r="G124" t="str">
            <v>Gujarat</v>
          </cell>
          <cell r="H124" t="str">
            <v>Gateway</v>
          </cell>
          <cell r="I124" t="str">
            <v>Shree Maruti Integrated Logistics Limited</v>
          </cell>
          <cell r="J124" t="str">
            <v>ezaz.shaikh@shreemaruti.com</v>
          </cell>
        </row>
        <row r="125">
          <cell r="C125" t="str">
            <v>LDNS</v>
          </cell>
          <cell r="D125" t="str">
            <v>North</v>
          </cell>
          <cell r="E125" t="str">
            <v>Active</v>
          </cell>
          <cell r="F125" t="str">
            <v>Ludhiana</v>
          </cell>
          <cell r="G125" t="str">
            <v>Punjab</v>
          </cell>
          <cell r="H125" t="str">
            <v>LMSC</v>
          </cell>
          <cell r="I125" t="str">
            <v>AVS2 LOGISTICS INDIA PVT LTD</v>
          </cell>
          <cell r="J125" t="str">
            <v>Vineet.tyagi@avs2logisticsindia.com, sakshityagiavslogisticsindiapv@gmail.com</v>
          </cell>
        </row>
        <row r="126">
          <cell r="C126" t="str">
            <v>PTNS</v>
          </cell>
          <cell r="D126" t="str">
            <v>East</v>
          </cell>
          <cell r="E126" t="str">
            <v>Active</v>
          </cell>
          <cell r="F126" t="str">
            <v>Patna</v>
          </cell>
          <cell r="G126" t="str">
            <v>Bihar</v>
          </cell>
          <cell r="H126" t="str">
            <v>LMSC</v>
          </cell>
          <cell r="I126" t="str">
            <v>TCI Supplychain Solution Ltd.</v>
          </cell>
          <cell r="J126" t="str">
            <v>c.jose@tciscs.com</v>
          </cell>
        </row>
        <row r="127">
          <cell r="C127" t="str">
            <v>MU1D</v>
          </cell>
          <cell r="D127" t="str">
            <v>West</v>
          </cell>
          <cell r="E127" t="str">
            <v>Active</v>
          </cell>
          <cell r="F127" t="str">
            <v>Mumbai</v>
          </cell>
          <cell r="G127" t="str">
            <v>Maharashtra</v>
          </cell>
          <cell r="H127" t="str">
            <v>Mega DC</v>
          </cell>
          <cell r="I127" t="str">
            <v>ROCK SALES</v>
          </cell>
          <cell r="J127" t="str">
            <v>rocksales917@gmail.com</v>
          </cell>
        </row>
        <row r="128">
          <cell r="C128" t="str">
            <v>VJWS</v>
          </cell>
          <cell r="D128" t="str">
            <v>South</v>
          </cell>
          <cell r="E128" t="str">
            <v>Inactive</v>
          </cell>
          <cell r="F128" t="str">
            <v>Vijayawada</v>
          </cell>
          <cell r="G128" t="str">
            <v>Andhrapradesh</v>
          </cell>
          <cell r="H128" t="str">
            <v>LMSC</v>
          </cell>
          <cell r="I128" t="str">
            <v>YCH Logistics (I) Pvt Ltd</v>
          </cell>
          <cell r="J128" t="str">
            <v>aneeshbabu.b@ych.com</v>
          </cell>
        </row>
        <row r="129">
          <cell r="C129" t="str">
            <v>IDRS</v>
          </cell>
          <cell r="D129" t="str">
            <v>West</v>
          </cell>
          <cell r="E129" t="str">
            <v>Active</v>
          </cell>
          <cell r="F129" t="str">
            <v>Indore</v>
          </cell>
          <cell r="G129" t="str">
            <v>Madhya Pradesh</v>
          </cell>
          <cell r="H129" t="str">
            <v>Hybrid</v>
          </cell>
          <cell r="I129" t="str">
            <v>Kapoor Diesels Garage Pvt. Ltd.</v>
          </cell>
          <cell r="J129" t="str">
            <v>akhil.pal@kapoordiesels.com</v>
          </cell>
        </row>
        <row r="130">
          <cell r="C130" t="str">
            <v>IXRS</v>
          </cell>
          <cell r="D130" t="str">
            <v>East</v>
          </cell>
          <cell r="E130" t="str">
            <v>Active</v>
          </cell>
          <cell r="F130" t="str">
            <v>Ranchi</v>
          </cell>
          <cell r="G130" t="str">
            <v>Jharkhand</v>
          </cell>
          <cell r="H130" t="str">
            <v>LMSC</v>
          </cell>
          <cell r="I130" t="str">
            <v>LastMile TransTech Private Limited</v>
          </cell>
          <cell r="J130" t="str">
            <v>madhu@lastmilelogistics.com</v>
          </cell>
        </row>
        <row r="131">
          <cell r="C131" t="str">
            <v>H2LS</v>
          </cell>
          <cell r="D131" t="str">
            <v>South</v>
          </cell>
          <cell r="E131" t="str">
            <v>Inactive</v>
          </cell>
          <cell r="F131" t="str">
            <v>Hyderabad</v>
          </cell>
          <cell r="G131" t="str">
            <v>Telangana</v>
          </cell>
          <cell r="H131" t="str">
            <v>LMSC</v>
          </cell>
          <cell r="I131" t="str">
            <v>CJDarcl India Pvt Ltd</v>
          </cell>
          <cell r="J131" t="str">
            <v>prashant.mishra@cjdarcl.com</v>
          </cell>
        </row>
        <row r="132">
          <cell r="C132" t="str">
            <v>KGS1</v>
          </cell>
          <cell r="D132" t="str">
            <v>East</v>
          </cell>
          <cell r="E132" t="str">
            <v>Active</v>
          </cell>
          <cell r="F132" t="str">
            <v>Kolkata</v>
          </cell>
          <cell r="G132" t="str">
            <v>West Bengal</v>
          </cell>
          <cell r="H132" t="str">
            <v>Gateway</v>
          </cell>
          <cell r="I132" t="str">
            <v>DeliveryPlus</v>
          </cell>
          <cell r="J132" t="str">
            <v>ranjeetsingh@deliveryplus.co.in</v>
          </cell>
        </row>
        <row r="133">
          <cell r="C133" t="str">
            <v>MZPS</v>
          </cell>
          <cell r="D133" t="str">
            <v>East</v>
          </cell>
          <cell r="E133" t="str">
            <v>Active</v>
          </cell>
          <cell r="F133" t="str">
            <v>Muzaffarpur</v>
          </cell>
          <cell r="G133" t="str">
            <v>Bihar</v>
          </cell>
          <cell r="H133" t="str">
            <v>LMSC</v>
          </cell>
          <cell r="I133" t="str">
            <v>TRIUMPH SUPPLY CHAIN PRIVATE LIMITED</v>
          </cell>
          <cell r="J133" t="str">
            <v>dijendra@triumphsupplychain.io</v>
          </cell>
        </row>
        <row r="134">
          <cell r="C134" t="str">
            <v>DGS3</v>
          </cell>
          <cell r="D134" t="str">
            <v>North</v>
          </cell>
          <cell r="E134" t="str">
            <v>Active</v>
          </cell>
          <cell r="F134" t="str">
            <v>Dadri</v>
          </cell>
          <cell r="G134" t="str">
            <v>Uttar Pradesh</v>
          </cell>
          <cell r="H134" t="str">
            <v>Gateway</v>
          </cell>
          <cell r="I134" t="str">
            <v>FIBS Logistics India Private Limited</v>
          </cell>
          <cell r="J134" t="str">
            <v>md.hussain@fibs-logistics.com</v>
          </cell>
        </row>
        <row r="135">
          <cell r="C135" t="str">
            <v>RJKS</v>
          </cell>
          <cell r="D135" t="str">
            <v>West</v>
          </cell>
          <cell r="E135" t="str">
            <v>Active</v>
          </cell>
          <cell r="F135" t="str">
            <v>Rajkot</v>
          </cell>
          <cell r="G135" t="str">
            <v>Gujarat</v>
          </cell>
          <cell r="H135" t="str">
            <v>FMSC</v>
          </cell>
          <cell r="I135" t="str">
            <v>SHREE VASU LOGISTICS LTD</v>
          </cell>
          <cell r="J135" t="str">
            <v>warehouseinchargeraj@shreevasulogistics.in</v>
          </cell>
        </row>
        <row r="136">
          <cell r="C136" t="str">
            <v>D17S</v>
          </cell>
          <cell r="D136" t="str">
            <v>North</v>
          </cell>
          <cell r="E136" t="str">
            <v>Active</v>
          </cell>
          <cell r="F136" t="str">
            <v>Delhi</v>
          </cell>
          <cell r="G136" t="str">
            <v>Delhi</v>
          </cell>
          <cell r="H136" t="str">
            <v>FMSC</v>
          </cell>
          <cell r="I136" t="str">
            <v>Seabird</v>
          </cell>
          <cell r="J136" t="str">
            <v>anil.kumar@seabird.co.in</v>
          </cell>
        </row>
        <row r="137">
          <cell r="C137" t="str">
            <v>J3LS</v>
          </cell>
          <cell r="D137" t="str">
            <v>West</v>
          </cell>
          <cell r="E137" t="str">
            <v>Active</v>
          </cell>
          <cell r="F137" t="str">
            <v>Jaipur</v>
          </cell>
          <cell r="G137" t="str">
            <v>Rajasthan</v>
          </cell>
          <cell r="H137" t="str">
            <v>LMSC</v>
          </cell>
          <cell r="I137" t="str">
            <v xml:space="preserve">M/S R.D Logistics </v>
          </cell>
          <cell r="J137" t="str">
            <v>sparsh.agarwal@rdespl.com</v>
          </cell>
        </row>
        <row r="138">
          <cell r="C138" t="str">
            <v>J6FS</v>
          </cell>
          <cell r="D138" t="str">
            <v>West</v>
          </cell>
          <cell r="E138" t="str">
            <v>Active</v>
          </cell>
          <cell r="F138" t="str">
            <v>Jaipur</v>
          </cell>
          <cell r="G138" t="str">
            <v>Rajasthan</v>
          </cell>
          <cell r="H138" t="str">
            <v>FMSC</v>
          </cell>
          <cell r="I138" t="str">
            <v>Parnami Logistics &amp; Packing Centre Pvt. Ltd</v>
          </cell>
          <cell r="J138" t="str">
            <v>manager.operations@parnamigroup-logistics.com / servicepartner@adarshmarketing.com</v>
          </cell>
        </row>
        <row r="139">
          <cell r="C139" t="str">
            <v>AG2S</v>
          </cell>
          <cell r="D139" t="str">
            <v>North</v>
          </cell>
          <cell r="E139" t="str">
            <v>Active</v>
          </cell>
          <cell r="F139" t="str">
            <v>Agra</v>
          </cell>
          <cell r="G139" t="str">
            <v>Uttar Pradesh</v>
          </cell>
          <cell r="H139" t="str">
            <v>LMSC</v>
          </cell>
          <cell r="I139" t="str">
            <v>Shodh Services</v>
          </cell>
          <cell r="J139" t="str">
            <v>Hr@shodhservices.com</v>
          </cell>
        </row>
        <row r="140">
          <cell r="C140" t="str">
            <v>D4LS</v>
          </cell>
          <cell r="D140" t="str">
            <v>North</v>
          </cell>
          <cell r="E140" t="str">
            <v>Active</v>
          </cell>
          <cell r="F140" t="str">
            <v>Noida</v>
          </cell>
          <cell r="G140" t="str">
            <v>Uttar Pradesh</v>
          </cell>
          <cell r="H140" t="str">
            <v>LMSC</v>
          </cell>
          <cell r="I140" t="str">
            <v>Braazo Delivery Services pvt ltd</v>
          </cell>
          <cell r="J140" t="str">
            <v>gaurav.pratik@braazo.com</v>
          </cell>
        </row>
        <row r="141">
          <cell r="C141" t="str">
            <v>MERS</v>
          </cell>
          <cell r="D141" t="str">
            <v>North</v>
          </cell>
          <cell r="E141" t="str">
            <v>Active</v>
          </cell>
          <cell r="F141" t="str">
            <v>Meerut</v>
          </cell>
          <cell r="G141" t="str">
            <v>Uttar Pradesh</v>
          </cell>
          <cell r="H141" t="str">
            <v>LMSC</v>
          </cell>
          <cell r="I141" t="str">
            <v>AVS2 LOGISTICS INDIA PVT LTD</v>
          </cell>
          <cell r="J141" t="str">
            <v>Vineet.tyagi@avs2logisticsindia.com</v>
          </cell>
        </row>
        <row r="142">
          <cell r="C142" t="str">
            <v>D14S</v>
          </cell>
          <cell r="D142" t="str">
            <v>North</v>
          </cell>
          <cell r="E142" t="str">
            <v>Active</v>
          </cell>
          <cell r="F142" t="str">
            <v>Delhi</v>
          </cell>
          <cell r="G142" t="str">
            <v>Delhi</v>
          </cell>
          <cell r="H142" t="str">
            <v>FMSC</v>
          </cell>
          <cell r="I142" t="str">
            <v>Jambulogix Private Limited</v>
          </cell>
          <cell r="J142" t="str">
            <v>deepu@jambulogix.com</v>
          </cell>
        </row>
        <row r="143">
          <cell r="C143" t="str">
            <v>D18S</v>
          </cell>
          <cell r="D143" t="str">
            <v>North</v>
          </cell>
          <cell r="E143" t="str">
            <v>Active</v>
          </cell>
          <cell r="F143" t="str">
            <v>Dadri</v>
          </cell>
          <cell r="G143" t="str">
            <v>Uttar Pradesh</v>
          </cell>
          <cell r="H143" t="str">
            <v>FMSC</v>
          </cell>
          <cell r="I143" t="str">
            <v>Synchronized supply systems ltd</v>
          </cell>
          <cell r="J143" t="str">
            <v>mohit.jain@synchronized.in</v>
          </cell>
        </row>
        <row r="144">
          <cell r="C144" t="str">
            <v>D20S</v>
          </cell>
          <cell r="D144" t="str">
            <v>North</v>
          </cell>
          <cell r="E144" t="str">
            <v>Inactive</v>
          </cell>
          <cell r="F144" t="str">
            <v>Ghaziabad</v>
          </cell>
          <cell r="G144" t="str">
            <v>Uttar Pradesh</v>
          </cell>
          <cell r="H144" t="str">
            <v>FMSC</v>
          </cell>
          <cell r="I144" t="str">
            <v>Shiftway logistics</v>
          </cell>
          <cell r="J144" t="str">
            <v>deepak.kumar@shiftwaylogistics.com</v>
          </cell>
        </row>
        <row r="145">
          <cell r="C145" t="str">
            <v>M2LS</v>
          </cell>
          <cell r="D145" t="str">
            <v>West</v>
          </cell>
          <cell r="E145" t="str">
            <v>Inactive</v>
          </cell>
          <cell r="F145" t="str">
            <v>Mumbai</v>
          </cell>
          <cell r="G145" t="str">
            <v>Maharashtra</v>
          </cell>
          <cell r="H145" t="str">
            <v>LMSC</v>
          </cell>
          <cell r="I145" t="str">
            <v>LastMile TransTech Private Limited</v>
          </cell>
          <cell r="J145" t="str">
            <v>madhu@lastmilelogistics.in</v>
          </cell>
        </row>
        <row r="146">
          <cell r="C146" t="str">
            <v>S13S</v>
          </cell>
          <cell r="D146" t="str">
            <v>West</v>
          </cell>
          <cell r="E146" t="str">
            <v>Active</v>
          </cell>
          <cell r="F146" t="str">
            <v>Surat</v>
          </cell>
          <cell r="G146" t="str">
            <v>Gujarat</v>
          </cell>
          <cell r="H146" t="str">
            <v>FMSC</v>
          </cell>
          <cell r="I146" t="str">
            <v>CJDarcl India Pvt Ltd</v>
          </cell>
          <cell r="J146" t="str">
            <v>meesho_surat_wh@cjdarcl.com</v>
          </cell>
        </row>
        <row r="147">
          <cell r="C147" t="str">
            <v>BLFS</v>
          </cell>
          <cell r="D147" t="str">
            <v>South</v>
          </cell>
          <cell r="E147" t="str">
            <v>Active</v>
          </cell>
          <cell r="F147" t="str">
            <v>Bangalore</v>
          </cell>
          <cell r="G147" t="str">
            <v>Karnataka</v>
          </cell>
          <cell r="H147" t="str">
            <v>LMSC</v>
          </cell>
          <cell r="I147" t="str">
            <v>Proconnect Supply Chain Solutions Limited</v>
          </cell>
          <cell r="J147" t="str">
            <v>gupta.kumar@proconnectlogistics.com</v>
          </cell>
        </row>
        <row r="148">
          <cell r="C148" t="str">
            <v>GWLS</v>
          </cell>
          <cell r="D148" t="str">
            <v>West</v>
          </cell>
          <cell r="E148" t="str">
            <v>Inactive</v>
          </cell>
          <cell r="F148" t="str">
            <v>Gwalior</v>
          </cell>
          <cell r="G148" t="str">
            <v>Madhya Pradesh</v>
          </cell>
          <cell r="H148" t="str">
            <v>LMSC</v>
          </cell>
          <cell r="I148" t="str">
            <v>Gotek Logistics Private Limited</v>
          </cell>
          <cell r="J148" t="str">
            <v xml:space="preserve"> Prashanth.b@isalogistics.in</v>
          </cell>
        </row>
        <row r="149">
          <cell r="C149" t="str">
            <v>SGS3</v>
          </cell>
          <cell r="D149" t="str">
            <v>West</v>
          </cell>
          <cell r="E149" t="str">
            <v>Active</v>
          </cell>
          <cell r="F149" t="str">
            <v>Surat</v>
          </cell>
          <cell r="G149" t="str">
            <v>Gujarat</v>
          </cell>
          <cell r="H149" t="str">
            <v>Gateway</v>
          </cell>
          <cell r="I149" t="str">
            <v>CJDarcl India Pvt Ltd</v>
          </cell>
          <cell r="J149" t="str">
            <v>meesho_surat_wh@cjdarcl.com</v>
          </cell>
        </row>
        <row r="150">
          <cell r="C150" t="str">
            <v>D19S</v>
          </cell>
          <cell r="D150" t="str">
            <v>North</v>
          </cell>
          <cell r="E150" t="str">
            <v>Active</v>
          </cell>
          <cell r="F150" t="str">
            <v>Bamnoli</v>
          </cell>
          <cell r="G150" t="str">
            <v>Delhi</v>
          </cell>
          <cell r="H150" t="str">
            <v>FMSC</v>
          </cell>
          <cell r="I150" t="str">
            <v>RIGHT TO JOB</v>
          </cell>
          <cell r="J150" t="str">
            <v>opsrtj@righttojob.in</v>
          </cell>
        </row>
        <row r="151">
          <cell r="C151" t="str">
            <v>S2LS</v>
          </cell>
          <cell r="D151" t="str">
            <v>East</v>
          </cell>
          <cell r="E151" t="str">
            <v>Inactive</v>
          </cell>
          <cell r="F151" t="str">
            <v>Siliguri</v>
          </cell>
          <cell r="G151" t="str">
            <v>West Bengal</v>
          </cell>
          <cell r="H151" t="str">
            <v>LMSC</v>
          </cell>
          <cell r="I151" t="str">
            <v>Pranik Logistics Limited</v>
          </cell>
          <cell r="J151" t="str">
            <v>Arnab@pranikgroup.com</v>
          </cell>
        </row>
        <row r="152">
          <cell r="C152" t="str">
            <v>DGS5</v>
          </cell>
          <cell r="D152" t="str">
            <v>North</v>
          </cell>
          <cell r="E152" t="str">
            <v>Active</v>
          </cell>
          <cell r="F152" t="str">
            <v>Pataudi</v>
          </cell>
          <cell r="G152" t="str">
            <v>Haryana</v>
          </cell>
          <cell r="H152" t="str">
            <v>Gateway</v>
          </cell>
          <cell r="I152" t="str">
            <v>FREIGHT SYSTEMS INDIA PRIVATE LIMITED</v>
          </cell>
          <cell r="J152" t="str">
            <v>Deepak.mor@freightsystems.com</v>
          </cell>
        </row>
        <row r="153">
          <cell r="C153" t="str">
            <v>JGS2</v>
          </cell>
          <cell r="D153" t="str">
            <v>West</v>
          </cell>
          <cell r="E153" t="str">
            <v>Active</v>
          </cell>
          <cell r="F153" t="str">
            <v>Jaipur</v>
          </cell>
          <cell r="G153" t="str">
            <v>Rajasthan</v>
          </cell>
          <cell r="H153" t="str">
            <v>Gateway</v>
          </cell>
          <cell r="I153" t="str">
            <v>SHREE VASU LOGISTICS LTD</v>
          </cell>
          <cell r="J153" t="str">
            <v>warehouseinchargejaipur@shreevasulogistics.in</v>
          </cell>
        </row>
        <row r="154">
          <cell r="C154" t="str">
            <v>K3FS</v>
          </cell>
          <cell r="D154" t="str">
            <v>East</v>
          </cell>
          <cell r="E154" t="str">
            <v>Active</v>
          </cell>
          <cell r="F154" t="str">
            <v>Kolkata</v>
          </cell>
          <cell r="G154" t="str">
            <v>West Bengal</v>
          </cell>
          <cell r="H154" t="str">
            <v>FMSC</v>
          </cell>
          <cell r="I154" t="str">
            <v>Schenker India Private Limited</v>
          </cell>
          <cell r="J154" t="str">
            <v>ayananta.kundu@dbschenker.com</v>
          </cell>
        </row>
        <row r="155">
          <cell r="C155" t="str">
            <v>K3LS</v>
          </cell>
          <cell r="D155" t="str">
            <v>East</v>
          </cell>
          <cell r="E155" t="str">
            <v>Active</v>
          </cell>
          <cell r="F155" t="str">
            <v>Kolkata</v>
          </cell>
          <cell r="G155" t="str">
            <v>West Bengal</v>
          </cell>
          <cell r="H155" t="str">
            <v>LMSC</v>
          </cell>
          <cell r="I155" t="str">
            <v>FedEx Logistics India Private Limited</v>
          </cell>
          <cell r="J155" t="str">
            <v>Sandeepsingh6@fedex.com</v>
          </cell>
        </row>
        <row r="156">
          <cell r="C156" t="str">
            <v>BBNS</v>
          </cell>
          <cell r="D156" t="str">
            <v>East</v>
          </cell>
          <cell r="E156" t="str">
            <v>Inactive</v>
          </cell>
          <cell r="F156" t="str">
            <v>Bhubaneswar</v>
          </cell>
          <cell r="G156" t="str">
            <v>Odisha</v>
          </cell>
          <cell r="H156" t="str">
            <v>LMSC</v>
          </cell>
          <cell r="I156" t="str">
            <v>SHREE VASU LOGISTICS LTD</v>
          </cell>
          <cell r="J156" t="str">
            <v>ritu@shreevasulogistics.com</v>
          </cell>
        </row>
        <row r="157">
          <cell r="C157" t="str">
            <v>D5LS</v>
          </cell>
          <cell r="D157" t="str">
            <v>North</v>
          </cell>
          <cell r="E157" t="str">
            <v>Active</v>
          </cell>
          <cell r="F157" t="str">
            <v>Bamnoli</v>
          </cell>
          <cell r="G157" t="str">
            <v>Delhi</v>
          </cell>
          <cell r="H157" t="str">
            <v>LMSC</v>
          </cell>
          <cell r="I157" t="str">
            <v>Briskworld Ventures Pvt. Ltd</v>
          </cell>
          <cell r="J157" t="str">
            <v>anoop.attri@glasswing.in</v>
          </cell>
        </row>
        <row r="158">
          <cell r="C158" t="str">
            <v>D6LS</v>
          </cell>
          <cell r="D158" t="str">
            <v>North</v>
          </cell>
          <cell r="E158" t="str">
            <v>Inactive</v>
          </cell>
          <cell r="F158" t="str">
            <v>Manesar</v>
          </cell>
          <cell r="G158" t="str">
            <v>Haryana</v>
          </cell>
          <cell r="H158" t="str">
            <v>LMSC</v>
          </cell>
          <cell r="I158" t="str">
            <v>Ethics Prosperity Pvt. Ltd.</v>
          </cell>
          <cell r="J158" t="str">
            <v>mudit.goyal@ethicsgroup.in</v>
          </cell>
        </row>
        <row r="159">
          <cell r="C159" t="str">
            <v>PRGS</v>
          </cell>
          <cell r="D159" t="str">
            <v>North</v>
          </cell>
          <cell r="E159" t="str">
            <v>Active</v>
          </cell>
          <cell r="F159" t="str">
            <v>Prayagraj</v>
          </cell>
          <cell r="G159" t="str">
            <v>Uttar Pradesh</v>
          </cell>
          <cell r="H159" t="str">
            <v>LMSC</v>
          </cell>
          <cell r="I159" t="str">
            <v>V2V Supply Chain Pvt Ltd</v>
          </cell>
          <cell r="J159" t="str">
            <v>ashish.singh@v2vsupplychains.com</v>
          </cell>
        </row>
        <row r="160">
          <cell r="C160" t="str">
            <v>VRNS</v>
          </cell>
          <cell r="D160" t="str">
            <v>North</v>
          </cell>
          <cell r="E160" t="str">
            <v>Active</v>
          </cell>
          <cell r="F160" t="str">
            <v>Varanasi</v>
          </cell>
          <cell r="G160" t="str">
            <v>Uttar Pradesh</v>
          </cell>
          <cell r="H160" t="str">
            <v>LMSC</v>
          </cell>
          <cell r="I160" t="str">
            <v>Gotek Logistics Private Limited</v>
          </cell>
          <cell r="J160" t="str">
            <v> Prashanth.b@isalogistics.in</v>
          </cell>
        </row>
        <row r="161">
          <cell r="C161" t="str">
            <v>BDRS</v>
          </cell>
          <cell r="D161" t="str">
            <v>South</v>
          </cell>
          <cell r="E161" t="str">
            <v>Active</v>
          </cell>
          <cell r="F161" t="str">
            <v>Bidar</v>
          </cell>
          <cell r="G161" t="str">
            <v>karnataka</v>
          </cell>
          <cell r="H161" t="str">
            <v>LMSC</v>
          </cell>
          <cell r="I161" t="str">
            <v>TRACXLogis India Private Limited</v>
          </cell>
          <cell r="J161" t="str">
            <v>pradeep.kumar@qxpress.in</v>
          </cell>
        </row>
        <row r="162">
          <cell r="C162" t="str">
            <v>DGS4</v>
          </cell>
          <cell r="D162" t="str">
            <v>North</v>
          </cell>
          <cell r="E162" t="str">
            <v>Active</v>
          </cell>
          <cell r="F162" t="str">
            <v>Delhi</v>
          </cell>
          <cell r="G162" t="str">
            <v>Delhi</v>
          </cell>
          <cell r="H162" t="str">
            <v>Gateway</v>
          </cell>
          <cell r="I162" t="str">
            <v>Ntex Transportation Services Pvt Ltd.</v>
          </cell>
          <cell r="J162" t="str">
            <v>ankit.rana@elastic.run</v>
          </cell>
        </row>
        <row r="163">
          <cell r="C163" t="str">
            <v>DGS6</v>
          </cell>
          <cell r="D163" t="str">
            <v>North</v>
          </cell>
          <cell r="E163" t="str">
            <v>Active</v>
          </cell>
          <cell r="F163" t="str">
            <v>Dasna</v>
          </cell>
          <cell r="G163" t="str">
            <v>Uttar Pradesh</v>
          </cell>
          <cell r="H163" t="str">
            <v>Gateway</v>
          </cell>
          <cell r="I163" t="str">
            <v>CJDarcl India Pvt Ltd</v>
          </cell>
          <cell r="J163" t="str">
            <v>prashant.mishra@cjdarcl.com</v>
          </cell>
        </row>
        <row r="164">
          <cell r="C164" t="str">
            <v>BGS1</v>
          </cell>
          <cell r="D164" t="str">
            <v>South</v>
          </cell>
          <cell r="E164" t="str">
            <v>Active</v>
          </cell>
          <cell r="F164" t="str">
            <v>Bangalore</v>
          </cell>
          <cell r="G164" t="str">
            <v>Karnataka</v>
          </cell>
          <cell r="H164" t="str">
            <v>Gateway</v>
          </cell>
          <cell r="I164" t="str">
            <v>Ntex Transportation Services Pvt Ltd.</v>
          </cell>
          <cell r="J164" t="str">
            <v>r.arjun@elastic.run</v>
          </cell>
        </row>
        <row r="165">
          <cell r="C165" t="str">
            <v>H4LS</v>
          </cell>
          <cell r="D165" t="str">
            <v>South</v>
          </cell>
          <cell r="E165" t="str">
            <v>Active</v>
          </cell>
          <cell r="F165" t="str">
            <v>Shamshabad</v>
          </cell>
          <cell r="G165" t="str">
            <v>Telangana</v>
          </cell>
          <cell r="H165" t="str">
            <v>LMSC</v>
          </cell>
          <cell r="I165" t="str">
            <v>MRC Logistics (India) Pvt. Ltd</v>
          </cell>
          <cell r="J165" t="str">
            <v>sandeep.srivastava@mrcindia.com</v>
          </cell>
        </row>
        <row r="166">
          <cell r="C166" t="str">
            <v>KOCS</v>
          </cell>
          <cell r="D166" t="str">
            <v>South</v>
          </cell>
          <cell r="E166" t="str">
            <v>Active</v>
          </cell>
          <cell r="F166" t="str">
            <v>Kochi</v>
          </cell>
          <cell r="G166" t="str">
            <v>Kerala</v>
          </cell>
          <cell r="H166" t="str">
            <v>LMSC</v>
          </cell>
          <cell r="I166" t="str">
            <v>Goline Networks Private Limited</v>
          </cell>
          <cell r="J166" t="str">
            <v>Jyothis@goline.in</v>
          </cell>
        </row>
        <row r="167">
          <cell r="C167" t="str">
            <v>S15S</v>
          </cell>
          <cell r="D167" t="str">
            <v>West</v>
          </cell>
          <cell r="E167" t="str">
            <v>Active</v>
          </cell>
          <cell r="F167" t="str">
            <v>Surat</v>
          </cell>
          <cell r="G167" t="str">
            <v>Gujarat</v>
          </cell>
          <cell r="H167" t="str">
            <v>FMSC</v>
          </cell>
          <cell r="I167" t="str">
            <v>Apollo Supply Chain Pvt Ltd</v>
          </cell>
          <cell r="J167" t="str">
            <v>mukesh.k@apollosupplychain.com</v>
          </cell>
        </row>
        <row r="168">
          <cell r="C168" t="str">
            <v>SULS</v>
          </cell>
          <cell r="D168" t="str">
            <v>West</v>
          </cell>
          <cell r="E168" t="str">
            <v>Active</v>
          </cell>
          <cell r="F168" t="str">
            <v>Surat</v>
          </cell>
          <cell r="G168" t="str">
            <v>Gujarat</v>
          </cell>
          <cell r="H168" t="str">
            <v>LMSC</v>
          </cell>
          <cell r="I168" t="str">
            <v>Ntex Transportation Services Pvt Ltd.</v>
          </cell>
          <cell r="J168" t="str">
            <v>tarunkumar.radadiya@elastic.run</v>
          </cell>
        </row>
        <row r="169">
          <cell r="C169" t="str">
            <v>L3LS</v>
          </cell>
          <cell r="D169" t="str">
            <v>North</v>
          </cell>
          <cell r="E169" t="str">
            <v>Active</v>
          </cell>
          <cell r="F169" t="str">
            <v>Lucknow</v>
          </cell>
          <cell r="G169" t="str">
            <v>Uttar Pradesh</v>
          </cell>
          <cell r="H169" t="str">
            <v>Hybrid</v>
          </cell>
          <cell r="I169" t="str">
            <v>DeliveryPlus</v>
          </cell>
          <cell r="J169" t="str">
            <v>ranjeetsingh@deliveryplus.co.in</v>
          </cell>
        </row>
        <row r="170">
          <cell r="C170" t="str">
            <v>CBTS</v>
          </cell>
          <cell r="D170" t="str">
            <v>South</v>
          </cell>
          <cell r="E170" t="str">
            <v>Active</v>
          </cell>
          <cell r="F170" t="str">
            <v>Coimbatore</v>
          </cell>
          <cell r="G170" t="str">
            <v>Tamil Nadu</v>
          </cell>
          <cell r="H170" t="str">
            <v>FMSC</v>
          </cell>
          <cell r="I170" t="str">
            <v>NX Logistics India Pvt.Ltd.</v>
          </cell>
          <cell r="J170" t="str">
            <v>bharat.db@nipponexpress.com</v>
          </cell>
        </row>
        <row r="171">
          <cell r="C171" t="str">
            <v>LD4S</v>
          </cell>
          <cell r="D171" t="str">
            <v>North</v>
          </cell>
          <cell r="E171" t="str">
            <v>Active</v>
          </cell>
          <cell r="F171" t="str">
            <v>Ludhiana</v>
          </cell>
          <cell r="G171" t="str">
            <v>Punjab</v>
          </cell>
          <cell r="H171" t="str">
            <v>LMSC</v>
          </cell>
          <cell r="I171" t="str">
            <v>FIRST CHOICE EXPRESS PRIVATE LIMITED</v>
          </cell>
          <cell r="J171" t="str">
            <v>prabhu.narayan@firstchoice.express,deepak.sharma@firstchoice.express</v>
          </cell>
        </row>
        <row r="172">
          <cell r="C172" t="str">
            <v>S14S</v>
          </cell>
          <cell r="D172" t="str">
            <v>West</v>
          </cell>
          <cell r="E172" t="str">
            <v>Active</v>
          </cell>
          <cell r="F172" t="str">
            <v>Surat</v>
          </cell>
          <cell r="G172" t="str">
            <v>Gujarat</v>
          </cell>
          <cell r="H172" t="str">
            <v>FMSC</v>
          </cell>
          <cell r="I172" t="str">
            <v>Adamas</v>
          </cell>
          <cell r="J172" t="str">
            <v>mudit.goyal@ethicsgroup.in</v>
          </cell>
        </row>
        <row r="173">
          <cell r="C173" t="str">
            <v>TSYS</v>
          </cell>
          <cell r="D173" t="str">
            <v>East</v>
          </cell>
          <cell r="E173" t="str">
            <v>Inactive</v>
          </cell>
          <cell r="F173" t="str">
            <v>Silchar</v>
          </cell>
          <cell r="G173" t="str">
            <v>Assam</v>
          </cell>
          <cell r="H173" t="str">
            <v>LMSC</v>
          </cell>
          <cell r="I173" t="str">
            <v>Progex Logistics Private Limited</v>
          </cell>
          <cell r="J173" t="str">
            <v>bikash.s@progex.in</v>
          </cell>
        </row>
        <row r="174">
          <cell r="C174" t="str">
            <v>D13S</v>
          </cell>
          <cell r="D174" t="str">
            <v>North</v>
          </cell>
          <cell r="E174" t="str">
            <v>Active</v>
          </cell>
          <cell r="F174" t="str">
            <v>Ghaziabad</v>
          </cell>
          <cell r="G174" t="str">
            <v>Uttar Pradesh</v>
          </cell>
          <cell r="H174" t="str">
            <v>FMSC</v>
          </cell>
          <cell r="I174" t="str">
            <v>DP World Express Logistics Private Limited</v>
          </cell>
          <cell r="J174" t="str">
            <v>Sandip.Kumar@dpworld.com</v>
          </cell>
        </row>
        <row r="175">
          <cell r="C175" t="str">
            <v>M2FS</v>
          </cell>
          <cell r="D175" t="str">
            <v>West</v>
          </cell>
          <cell r="E175" t="str">
            <v>Active</v>
          </cell>
          <cell r="F175" t="str">
            <v>Mumbai</v>
          </cell>
          <cell r="G175" t="str">
            <v>Maharashtra</v>
          </cell>
          <cell r="H175" t="str">
            <v>FMSC</v>
          </cell>
          <cell r="I175" t="str">
            <v>DP World Express Logistics Private Limited</v>
          </cell>
          <cell r="J175" t="str">
            <v>balu.warghade@dpworld.com</v>
          </cell>
        </row>
        <row r="176">
          <cell r="C176" t="str">
            <v>P3LS</v>
          </cell>
          <cell r="D176" t="str">
            <v>West</v>
          </cell>
          <cell r="E176" t="str">
            <v>Inactive</v>
          </cell>
          <cell r="F176" t="str">
            <v>Pune</v>
          </cell>
          <cell r="G176" t="str">
            <v>Maharashtra</v>
          </cell>
          <cell r="H176" t="str">
            <v>LMSC</v>
          </cell>
          <cell r="I176" t="str">
            <v>Edgistify</v>
          </cell>
          <cell r="J176" t="str">
            <v>shubhajit.roy@edgistify.com</v>
          </cell>
        </row>
        <row r="177">
          <cell r="C177" t="str">
            <v>PNDS</v>
          </cell>
          <cell r="D177" t="str">
            <v>South</v>
          </cell>
          <cell r="E177" t="str">
            <v>Active</v>
          </cell>
          <cell r="F177" t="str">
            <v>Pondicherry</v>
          </cell>
          <cell r="G177" t="str">
            <v>Tamil Nadu</v>
          </cell>
          <cell r="H177" t="str">
            <v>LMSC</v>
          </cell>
          <cell r="I177" t="str">
            <v>IBOB SCS</v>
          </cell>
          <cell r="J177" t="str">
            <v>Rajkumaar.nk@ibobscs.com</v>
          </cell>
        </row>
        <row r="178">
          <cell r="C178" t="str">
            <v>DGS7</v>
          </cell>
          <cell r="D178" t="str">
            <v>North</v>
          </cell>
          <cell r="E178" t="str">
            <v>Active</v>
          </cell>
          <cell r="F178" t="str">
            <v>Farukhnagar</v>
          </cell>
          <cell r="G178" t="str">
            <v>Delhi</v>
          </cell>
          <cell r="H178" t="str">
            <v>Gateway</v>
          </cell>
          <cell r="I178" t="str">
            <v>FIRST CHOICE EXPRESS PRIVATE LIMITED</v>
          </cell>
          <cell r="J178" t="str">
            <v>contact.center@firstlogistic.in</v>
          </cell>
        </row>
        <row r="179">
          <cell r="C179" t="str">
            <v>LGS1</v>
          </cell>
          <cell r="D179" t="str">
            <v>North</v>
          </cell>
          <cell r="E179" t="str">
            <v>Active</v>
          </cell>
          <cell r="F179" t="str">
            <v>Lucknow</v>
          </cell>
          <cell r="G179" t="str">
            <v>Uttar Pradesh</v>
          </cell>
          <cell r="H179" t="str">
            <v>Gateway</v>
          </cell>
          <cell r="I179" t="str">
            <v>Kapoor Diesels Garage Pvt. Ltd.</v>
          </cell>
          <cell r="J179" t="str">
            <v>manish.khanduja@kapoordiesels.com</v>
          </cell>
        </row>
        <row r="180">
          <cell r="C180" t="str">
            <v>AGFS</v>
          </cell>
          <cell r="D180" t="str">
            <v>North</v>
          </cell>
          <cell r="E180" t="str">
            <v>Active</v>
          </cell>
          <cell r="F180" t="str">
            <v>Agra</v>
          </cell>
          <cell r="G180" t="str">
            <v>Uttar Pradesh</v>
          </cell>
          <cell r="H180" t="str">
            <v>FMSC</v>
          </cell>
          <cell r="I180" t="str">
            <v>DeliveryPlus</v>
          </cell>
          <cell r="J180" t="str">
            <v>ranjeetsingh@deliveryplus.co.in</v>
          </cell>
        </row>
        <row r="181">
          <cell r="C181" t="str">
            <v>D21S</v>
          </cell>
          <cell r="D181" t="str">
            <v>North</v>
          </cell>
          <cell r="E181" t="str">
            <v>Active</v>
          </cell>
          <cell r="F181" t="str">
            <v>Ghaziabad</v>
          </cell>
          <cell r="G181" t="str">
            <v>Uttar Pradesh</v>
          </cell>
          <cell r="H181" t="str">
            <v>FMSC</v>
          </cell>
          <cell r="I181" t="str">
            <v>CJDarcl India Pvt Ltd</v>
          </cell>
          <cell r="J181" t="str">
            <v>neeraj.bajaj@cjdarcl.com</v>
          </cell>
        </row>
        <row r="182">
          <cell r="C182" t="str">
            <v>SGS4</v>
          </cell>
          <cell r="D182" t="str">
            <v>West</v>
          </cell>
          <cell r="E182" t="str">
            <v>Active</v>
          </cell>
          <cell r="F182" t="str">
            <v>Surat</v>
          </cell>
          <cell r="G182" t="str">
            <v>Gujarat</v>
          </cell>
          <cell r="H182" t="str">
            <v>Gateway</v>
          </cell>
          <cell r="I182" t="str">
            <v>FIBS Logistics India Private Limited</v>
          </cell>
          <cell r="J182" t="str">
            <v>peeyush.lal@fibs-logistics.com</v>
          </cell>
        </row>
        <row r="183">
          <cell r="C183" t="str">
            <v>RAAS</v>
          </cell>
          <cell r="D183" t="str">
            <v>North</v>
          </cell>
          <cell r="E183" t="str">
            <v>Active</v>
          </cell>
          <cell r="F183" t="str">
            <v>Rajpura</v>
          </cell>
          <cell r="G183" t="str">
            <v>Punjab</v>
          </cell>
          <cell r="H183" t="str">
            <v>LMSC</v>
          </cell>
          <cell r="I183" t="str">
            <v>CJDarcl India Pvt Ltd</v>
          </cell>
          <cell r="J183" t="str">
            <v>neeraj.bajaj@cjdarcl.com</v>
          </cell>
        </row>
        <row r="184">
          <cell r="C184" t="str">
            <v>PGS1</v>
          </cell>
          <cell r="D184" t="str">
            <v>West</v>
          </cell>
          <cell r="E184" t="str">
            <v>Active</v>
          </cell>
          <cell r="F184" t="str">
            <v>Nashik</v>
          </cell>
          <cell r="G184" t="str">
            <v>Maharashtra</v>
          </cell>
          <cell r="H184" t="str">
            <v>Gateway</v>
          </cell>
          <cell r="I184" t="str">
            <v>Baba Express</v>
          </cell>
          <cell r="J184" t="str">
            <v>pragnesh.desai@babaexpress.in</v>
          </cell>
        </row>
        <row r="185">
          <cell r="C185" t="str">
            <v>AGS1</v>
          </cell>
          <cell r="D185" t="str">
            <v>West</v>
          </cell>
          <cell r="E185" t="str">
            <v>Active</v>
          </cell>
          <cell r="F185" t="str">
            <v>Ahmedabad</v>
          </cell>
          <cell r="G185" t="str">
            <v>Gujarat</v>
          </cell>
          <cell r="H185" t="str">
            <v>Gateway</v>
          </cell>
          <cell r="I185" t="str">
            <v>SHREE VASU LOGISTICS LTD</v>
          </cell>
          <cell r="J185" t="str">
            <v>ar@shreevasulogistics.com</v>
          </cell>
        </row>
        <row r="186">
          <cell r="C186" t="str">
            <v>NGS1</v>
          </cell>
          <cell r="D186" t="str">
            <v>West</v>
          </cell>
          <cell r="E186" t="str">
            <v>Active</v>
          </cell>
          <cell r="F186" t="str">
            <v>Nagpur</v>
          </cell>
          <cell r="G186" t="str">
            <v>Maharashtra</v>
          </cell>
          <cell r="H186" t="str">
            <v>Gateway</v>
          </cell>
          <cell r="I186" t="str">
            <v>Loadshare Network Pvt Ltd</v>
          </cell>
          <cell r="J186" t="str">
            <v>kumar.deepak@loadshare.net</v>
          </cell>
        </row>
        <row r="187">
          <cell r="C187" t="str">
            <v>INDS</v>
          </cell>
          <cell r="D187" t="str">
            <v>West</v>
          </cell>
          <cell r="E187" t="str">
            <v>Active</v>
          </cell>
          <cell r="F187" t="str">
            <v>Indore</v>
          </cell>
          <cell r="G187" t="str">
            <v>Madhya Pradesh</v>
          </cell>
          <cell r="H187" t="str">
            <v>LMSC</v>
          </cell>
          <cell r="I187" t="str">
            <v>SHREE VASU LOGISTICS LTD</v>
          </cell>
          <cell r="J187" t="str">
            <v>ar@shreevasulogistics.com</v>
          </cell>
        </row>
        <row r="188">
          <cell r="C188" t="str">
            <v>J7FS</v>
          </cell>
          <cell r="D188" t="str">
            <v>West</v>
          </cell>
          <cell r="E188" t="str">
            <v>Active</v>
          </cell>
          <cell r="F188" t="str">
            <v>Jaipur</v>
          </cell>
          <cell r="G188" t="str">
            <v>Rajasthan</v>
          </cell>
          <cell r="H188" t="str">
            <v>FMSC</v>
          </cell>
          <cell r="I188" t="str">
            <v>Gotek Logistics Private Limited</v>
          </cell>
          <cell r="J188" t="str">
            <v>prashanth.b@isalogistics.in</v>
          </cell>
        </row>
        <row r="189">
          <cell r="C189" t="str">
            <v>BH1S</v>
          </cell>
          <cell r="D189" t="str">
            <v>West</v>
          </cell>
          <cell r="E189" t="str">
            <v>Active</v>
          </cell>
          <cell r="F189" t="str">
            <v>Bhopal</v>
          </cell>
          <cell r="G189" t="str">
            <v>Madhya Pradesh</v>
          </cell>
          <cell r="H189" t="str">
            <v>LMSC</v>
          </cell>
          <cell r="I189" t="str">
            <v>Loadshare Network Pvt Ltd</v>
          </cell>
          <cell r="J189" t="str">
            <v>kumar.deepak@loadshare.net</v>
          </cell>
        </row>
        <row r="190">
          <cell r="C190" t="str">
            <v>BWLS</v>
          </cell>
          <cell r="D190" t="str">
            <v>West</v>
          </cell>
          <cell r="E190" t="str">
            <v>Active</v>
          </cell>
          <cell r="F190" t="str">
            <v>Bhiwandi</v>
          </cell>
          <cell r="G190" t="str">
            <v>Maharashtra</v>
          </cell>
          <cell r="H190" t="str">
            <v>LMSC</v>
          </cell>
          <cell r="I190" t="str">
            <v>Sar Logistics</v>
          </cell>
          <cell r="J190" t="str">
            <v>pratik.gupta@sarlogisolutions.com</v>
          </cell>
        </row>
        <row r="191">
          <cell r="C191" t="str">
            <v>K4LS</v>
          </cell>
          <cell r="D191" t="str">
            <v>East</v>
          </cell>
          <cell r="E191" t="str">
            <v>Active</v>
          </cell>
          <cell r="F191" t="str">
            <v>Kolkata</v>
          </cell>
          <cell r="G191" t="str">
            <v>West Bengal</v>
          </cell>
          <cell r="H191" t="str">
            <v>FMSC</v>
          </cell>
          <cell r="I191" t="str">
            <v>Pranik Logistics Limited</v>
          </cell>
          <cell r="J191" t="str">
            <v>as@pranikgroup.com</v>
          </cell>
        </row>
      </sheetData>
      <sheetData sheetId="6"/>
      <sheetData sheetId="7"/>
      <sheetData sheetId="8"/>
      <sheetData sheetId="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eleted user" id="{875926D1-2AA8-4712-97F6-58F524E8039B}" userId="" providerId="google-sheets"/>
  <person displayName="nuthana.s@meesho.com" id="{33EB7747-7D62-43DF-B871-6B87F8C5E065}" userId="nuthana.s@meesho.com" providerId="PeoplePicker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3" dT="2024-12-06T10:56:17.00" personId="{875926D1-2AA8-4712-97F6-58F524E8039B}" id="{27D9FD59-43A5-4CF9-B2A8-D9039687D23E}" done="1">
    <text>@nuthana.s@meesho.com 
Please check
Assigned to nuthana.s@meesho.com</text>
    <mentions>
      <mention mentionpersonId="{33EB7747-7D62-43DF-B871-6B87F8C5E065}" mentionId="{EDC1FE41-8D94-4087-B391-23F1DAB4915A}" startIndex="0" length="21"/>
    </mentions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eepak.chejara@meesho.com" TargetMode="External"/><Relationship Id="rId13" Type="http://schemas.microsoft.com/office/2017/10/relationships/threadedComment" Target="../threadedComments/threadedComment1.xml"/><Relationship Id="rId3" Type="http://schemas.openxmlformats.org/officeDocument/2006/relationships/hyperlink" Target="mailto:mukul.goyal@meesho.com" TargetMode="External"/><Relationship Id="rId7" Type="http://schemas.openxmlformats.org/officeDocument/2006/relationships/hyperlink" Target="mailto:vikas.prajapat@meesho.com" TargetMode="External"/><Relationship Id="rId12" Type="http://schemas.openxmlformats.org/officeDocument/2006/relationships/comments" Target="../comments1.xml"/><Relationship Id="rId2" Type="http://schemas.openxmlformats.org/officeDocument/2006/relationships/hyperlink" Target="mailto:pradip.bhoi@meesho.com" TargetMode="External"/><Relationship Id="rId1" Type="http://schemas.openxmlformats.org/officeDocument/2006/relationships/hyperlink" Target="mailto:sombir@meesho.com" TargetMode="External"/><Relationship Id="rId6" Type="http://schemas.openxmlformats.org/officeDocument/2006/relationships/hyperlink" Target="mailto:krishan.kumar1@meesho.com" TargetMode="External"/><Relationship Id="rId11" Type="http://schemas.openxmlformats.org/officeDocument/2006/relationships/vmlDrawing" Target="../drawings/vmlDrawing1.vml"/><Relationship Id="rId5" Type="http://schemas.openxmlformats.org/officeDocument/2006/relationships/hyperlink" Target="mailto:sonu.yadav@meesho.com" TargetMode="External"/><Relationship Id="rId10" Type="http://schemas.openxmlformats.org/officeDocument/2006/relationships/hyperlink" Target="mailto:rahul.kumar9@meesho.com" TargetMode="External"/><Relationship Id="rId4" Type="http://schemas.openxmlformats.org/officeDocument/2006/relationships/hyperlink" Target="mailto:arvind.yadav@meesho.com" TargetMode="External"/><Relationship Id="rId9" Type="http://schemas.openxmlformats.org/officeDocument/2006/relationships/hyperlink" Target="mailto:irfan.khan1@meesh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55BFD-4E73-43AD-B407-DB095AAEA2F8}">
  <dimension ref="A1:N258"/>
  <sheetViews>
    <sheetView tabSelected="1" workbookViewId="0">
      <selection activeCell="B3" sqref="B3"/>
    </sheetView>
  </sheetViews>
  <sheetFormatPr defaultRowHeight="14.5"/>
  <cols>
    <col min="1" max="1" width="3.81640625" bestFit="1" customWidth="1"/>
    <col min="2" max="2" width="8.1796875" bestFit="1" customWidth="1"/>
    <col min="3" max="3" width="5.6328125" bestFit="1" customWidth="1"/>
    <col min="4" max="4" width="7.81640625" bestFit="1" customWidth="1"/>
    <col min="5" max="5" width="26.54296875" bestFit="1" customWidth="1"/>
    <col min="6" max="6" width="58.54296875" bestFit="1" customWidth="1"/>
    <col min="7" max="7" width="33.08984375" bestFit="1" customWidth="1"/>
    <col min="8" max="8" width="22.36328125" bestFit="1" customWidth="1"/>
    <col min="9" max="9" width="33.453125" bestFit="1" customWidth="1"/>
    <col min="10" max="10" width="20.08984375" bestFit="1" customWidth="1"/>
    <col min="11" max="11" width="45.7265625" bestFit="1" customWidth="1"/>
    <col min="12" max="12" width="9.6328125" bestFit="1" customWidth="1"/>
    <col min="13" max="13" width="75.26953125" bestFit="1" customWidth="1"/>
    <col min="14" max="14" width="7.1796875" bestFit="1" customWidth="1"/>
  </cols>
  <sheetData>
    <row r="1" spans="1:14" customFormat="1" ht="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>
        <v>1</v>
      </c>
      <c r="B2" s="2" t="s">
        <v>14</v>
      </c>
      <c r="C2" s="2" t="s">
        <v>190</v>
      </c>
      <c r="D2" t="str">
        <f ca="1">VLOOKUP(B2,[1]Sheet14!$C:$H,6,0)</f>
        <v>LMSC</v>
      </c>
      <c r="E2" s="2" t="s">
        <v>194</v>
      </c>
      <c r="F2" s="2" t="s">
        <v>201</v>
      </c>
      <c r="G2" s="2" t="s">
        <v>249</v>
      </c>
      <c r="H2" s="2">
        <v>9173700204</v>
      </c>
      <c r="I2" s="2" t="s">
        <v>416</v>
      </c>
      <c r="J2" s="2">
        <v>8160776092</v>
      </c>
      <c r="K2" t="str">
        <f ca="1">VLOOKUP(B2,[1]Sheet14!$C:$I,7,0)</f>
        <v>Shree Maruti Integrated Logistics Limited</v>
      </c>
      <c r="M2" t="str">
        <f ca="1">VLOOKUP(B2,[1]Sheet14!$C:$J,8,0)</f>
        <v xml:space="preserve">chandan.k@shreemaruti.com </v>
      </c>
    </row>
    <row r="3" spans="1:14">
      <c r="A3">
        <v>2</v>
      </c>
      <c r="B3" s="3" t="s">
        <v>15</v>
      </c>
      <c r="C3" s="3" t="s">
        <v>191</v>
      </c>
      <c r="D3" t="str">
        <f ca="1">VLOOKUP(B3,[1]Sheet14!$C:$H,6,0)</f>
        <v>LMSC</v>
      </c>
      <c r="E3" s="3" t="s">
        <v>195</v>
      </c>
      <c r="F3" s="3" t="s">
        <v>202</v>
      </c>
      <c r="G3" s="3" t="s">
        <v>250</v>
      </c>
      <c r="H3" s="3" t="s">
        <v>404</v>
      </c>
      <c r="I3" s="3" t="s">
        <v>417</v>
      </c>
      <c r="J3" s="3">
        <v>9663575036</v>
      </c>
      <c r="K3" t="str">
        <f ca="1">VLOOKUP(B3,[1]Sheet14!$C:$I,7,0)</f>
        <v>Allcargo Supply Chain Pvt. Ltd.</v>
      </c>
      <c r="M3" t="str">
        <f ca="1">VLOOKUP(B3,[1]Sheet14!$C:$J,8,0)</f>
        <v>Mohan.gowda@allcargosupplychain.com</v>
      </c>
    </row>
    <row r="4" spans="1:14">
      <c r="A4">
        <v>3</v>
      </c>
      <c r="B4" s="2" t="s">
        <v>16</v>
      </c>
      <c r="C4" s="2" t="s">
        <v>191</v>
      </c>
      <c r="D4" t="str">
        <f ca="1">VLOOKUP(B4,[1]Sheet14!$C:$H,6,0)</f>
        <v>Hybrid</v>
      </c>
      <c r="E4" s="2" t="s">
        <v>195</v>
      </c>
      <c r="F4" s="2" t="s">
        <v>203</v>
      </c>
      <c r="G4" s="2" t="s">
        <v>251</v>
      </c>
      <c r="H4" s="2">
        <v>7090078440</v>
      </c>
      <c r="I4" s="2" t="s">
        <v>418</v>
      </c>
      <c r="J4" s="2">
        <v>9164532362</v>
      </c>
      <c r="K4" t="str">
        <f ca="1">VLOOKUP(B4,[1]Sheet14!$C:$I,7,0)</f>
        <v>YCH Logistics (I) Pvt Ltd</v>
      </c>
      <c r="M4" t="str">
        <f ca="1">VLOOKUP(B4,[1]Sheet14!$C:$J,8,0)</f>
        <v>srinivas.g@ych.com</v>
      </c>
    </row>
    <row r="5" spans="1:14">
      <c r="A5">
        <v>4</v>
      </c>
      <c r="B5" s="2" t="s">
        <v>17</v>
      </c>
      <c r="C5" s="2" t="s">
        <v>190</v>
      </c>
      <c r="D5" t="str">
        <f ca="1">VLOOKUP(B5,[1]Sheet14!$C:$H,6,0)</f>
        <v>LMSC</v>
      </c>
      <c r="E5" s="2" t="s">
        <v>196</v>
      </c>
      <c r="F5" s="2" t="s">
        <v>204</v>
      </c>
      <c r="G5" s="2" t="s">
        <v>252</v>
      </c>
      <c r="H5" s="2">
        <v>8888726472</v>
      </c>
      <c r="I5" s="2" t="s">
        <v>419</v>
      </c>
      <c r="J5" s="2">
        <v>7738879336</v>
      </c>
      <c r="K5" t="str">
        <f ca="1">VLOOKUP(B5,[1]Sheet14!$C:$I,7,0)</f>
        <v>Allcargo Supply Chain Pvt. Ltd.</v>
      </c>
      <c r="M5" t="str">
        <f ca="1">VLOOKUP(B5,[1]Sheet14!$C:$J,8,0)</f>
        <v>ANS_63223@allcargologistics.com</v>
      </c>
    </row>
    <row r="6" spans="1:14">
      <c r="A6">
        <v>5</v>
      </c>
      <c r="B6" s="2" t="s">
        <v>18</v>
      </c>
      <c r="C6" s="2" t="s">
        <v>190</v>
      </c>
      <c r="D6" t="str">
        <f ca="1">VLOOKUP(B6,[1]Sheet14!$C:$H,6,0)</f>
        <v>FMSC</v>
      </c>
      <c r="E6" s="2" t="s">
        <v>196</v>
      </c>
      <c r="F6" s="2" t="s">
        <v>205</v>
      </c>
      <c r="G6" s="2" t="s">
        <v>253</v>
      </c>
      <c r="H6" s="2">
        <v>7767908097</v>
      </c>
      <c r="I6" s="2" t="s">
        <v>420</v>
      </c>
      <c r="J6" s="2">
        <v>9922621942</v>
      </c>
      <c r="K6" t="str">
        <f ca="1">VLOOKUP(B6,[1]Sheet14!$C:$I,7,0)</f>
        <v>CJDarcl India Pvt Ltd</v>
      </c>
      <c r="M6" t="str">
        <f ca="1">VLOOKUP(B6,[1]Sheet14!$C:$J,8,0)</f>
        <v xml:space="preserve">imtiyaz.alam@cjdarcl.com </v>
      </c>
    </row>
    <row r="7" spans="1:14">
      <c r="A7">
        <v>6</v>
      </c>
      <c r="B7" s="4" t="s">
        <v>19</v>
      </c>
      <c r="C7" s="4" t="s">
        <v>190</v>
      </c>
      <c r="D7" t="str">
        <f ca="1">VLOOKUP(B7,[1]Sheet14!$C:$H,6,0)</f>
        <v>LMSC</v>
      </c>
      <c r="E7" s="4" t="s">
        <v>196</v>
      </c>
      <c r="F7" s="4" t="s">
        <v>206</v>
      </c>
      <c r="G7" s="4" t="s">
        <v>254</v>
      </c>
      <c r="H7" s="4">
        <v>8591085838</v>
      </c>
      <c r="I7" s="4" t="s">
        <v>421</v>
      </c>
      <c r="J7" s="4">
        <v>8483900198</v>
      </c>
      <c r="K7" t="str">
        <f ca="1">VLOOKUP(B7,[1]Sheet14!$C:$I,7,0)</f>
        <v>Allcargo Supply Chain Pvt. Ltd.</v>
      </c>
      <c r="M7" t="str">
        <f ca="1">VLOOKUP(B7,[1]Sheet14!$C:$J,8,0)</f>
        <v>bhsops@allcargologisticsltd.onmicrosoft.com</v>
      </c>
    </row>
    <row r="8" spans="1:14">
      <c r="A8">
        <v>7</v>
      </c>
      <c r="B8" s="2" t="s">
        <v>20</v>
      </c>
      <c r="C8" s="2" t="s">
        <v>192</v>
      </c>
      <c r="D8" t="str">
        <f ca="1">VLOOKUP(B8,[1]Sheet14!$C:$H,6,0)</f>
        <v>LMSC</v>
      </c>
      <c r="E8" s="2" t="s">
        <v>197</v>
      </c>
      <c r="F8" s="2" t="s">
        <v>207</v>
      </c>
      <c r="G8" s="2" t="s">
        <v>255</v>
      </c>
      <c r="H8" s="2">
        <v>8700962598</v>
      </c>
      <c r="I8" s="2" t="s">
        <v>422</v>
      </c>
      <c r="J8" s="2">
        <v>9040877464</v>
      </c>
      <c r="K8" t="str">
        <f ca="1">VLOOKUP(B8,[1]Sheet14!$C:$I,7,0)</f>
        <v>Proconnect Supply Chain Solutions Limited</v>
      </c>
      <c r="M8" t="str">
        <f ca="1">VLOOKUP(B8,[1]Sheet14!$C:$J,8,0)</f>
        <v>santosh@proconnectlogistics.com</v>
      </c>
    </row>
    <row r="9" spans="1:14">
      <c r="A9">
        <v>8</v>
      </c>
      <c r="B9" s="2" t="s">
        <v>21</v>
      </c>
      <c r="C9" s="2" t="s">
        <v>192</v>
      </c>
      <c r="D9" t="str">
        <f ca="1">VLOOKUP(B9,[1]Sheet14!$C:$H,6,0)</f>
        <v>LMSC</v>
      </c>
      <c r="E9" s="2" t="s">
        <v>197</v>
      </c>
      <c r="F9" s="2" t="s">
        <v>207</v>
      </c>
      <c r="G9" s="2" t="s">
        <v>256</v>
      </c>
      <c r="H9" s="2">
        <v>9668843849</v>
      </c>
      <c r="I9" s="2" t="s">
        <v>423</v>
      </c>
      <c r="J9" s="2">
        <v>9439315064</v>
      </c>
      <c r="K9" t="str">
        <f ca="1">VLOOKUP(B9,[1]Sheet14!$C:$I,7,0)</f>
        <v>FIBS Logistics India Private Limited</v>
      </c>
      <c r="M9" t="str">
        <f ca="1">VLOOKUP(B9,[1]Sheet14!$C:$J,8,0)</f>
        <v>operations.bbsr@fibs-logistics.co</v>
      </c>
    </row>
    <row r="10" spans="1:14">
      <c r="A10">
        <v>9</v>
      </c>
      <c r="B10" s="4" t="s">
        <v>22</v>
      </c>
      <c r="C10" s="4" t="s">
        <v>191</v>
      </c>
      <c r="D10" t="str">
        <f ca="1">VLOOKUP(B10,[1]Sheet14!$C:$H,6,0)</f>
        <v>LMSC</v>
      </c>
      <c r="E10" s="4" t="s">
        <v>195</v>
      </c>
      <c r="F10" s="4" t="s">
        <v>208</v>
      </c>
      <c r="G10" s="4" t="s">
        <v>257</v>
      </c>
      <c r="H10" s="4">
        <v>6385797985</v>
      </c>
      <c r="I10" s="4" t="s">
        <v>424</v>
      </c>
      <c r="J10" s="4">
        <v>9360681063</v>
      </c>
      <c r="K10" t="str">
        <f ca="1">VLOOKUP(B10,[1]Sheet14!$C:$I,7,0)</f>
        <v>Mahindra Logistics Limited</v>
      </c>
      <c r="M10" t="str">
        <f ca="1">VLOOKUP(B10,[1]Sheet14!$C:$J,8,0)</f>
        <v>mll-chennai-mrs@mahindralogistics.com</v>
      </c>
    </row>
    <row r="11" spans="1:14">
      <c r="A11">
        <v>10</v>
      </c>
      <c r="B11" s="4" t="s">
        <v>23</v>
      </c>
      <c r="C11" s="4" t="s">
        <v>193</v>
      </c>
      <c r="D11" t="str">
        <f ca="1">VLOOKUP(B11,[1]Sheet14!$C:$H,6,0)</f>
        <v>FMSC</v>
      </c>
      <c r="E11" s="4" t="s">
        <v>198</v>
      </c>
      <c r="F11" s="4" t="s">
        <v>209</v>
      </c>
      <c r="G11" s="4" t="s">
        <v>258</v>
      </c>
      <c r="H11" s="15">
        <v>9451983805</v>
      </c>
      <c r="I11" s="4"/>
      <c r="J11" s="24"/>
      <c r="K11" t="str">
        <f ca="1">VLOOKUP(B11,[1]Sheet14!$C:$I,7,0)</f>
        <v>Mahindra Logistics Limited</v>
      </c>
      <c r="M11" t="str">
        <f ca="1">VLOOKUP(B11,[1]Sheet14!$C:$J,8,0)</f>
        <v>mll_meesho@mahindralogistics.com</v>
      </c>
    </row>
    <row r="12" spans="1:14">
      <c r="A12">
        <v>11</v>
      </c>
      <c r="B12" s="2" t="s">
        <v>24</v>
      </c>
      <c r="C12" s="2" t="s">
        <v>193</v>
      </c>
      <c r="D12" t="str">
        <f ca="1">VLOOKUP(B12,[1]Sheet14!$C:$H,6,0)</f>
        <v>LMSC</v>
      </c>
      <c r="E12" s="2" t="s">
        <v>199</v>
      </c>
      <c r="F12" s="2" t="s">
        <v>210</v>
      </c>
      <c r="G12" s="2" t="s">
        <v>259</v>
      </c>
      <c r="H12" s="2">
        <v>6398993379</v>
      </c>
      <c r="I12" s="2" t="s">
        <v>425</v>
      </c>
      <c r="J12" s="2">
        <v>9990061118</v>
      </c>
      <c r="K12" t="str">
        <f ca="1">VLOOKUP(B12,[1]Sheet14!$C:$I,7,0)</f>
        <v>Shree Maruti Integrated Logistics Limited</v>
      </c>
      <c r="M12" t="str">
        <f ca="1">VLOOKUP(B12,[1]Sheet14!$C:$J,8,0)</f>
        <v>Bhupendra.singh@shreemaruti.com</v>
      </c>
    </row>
    <row r="13" spans="1:14">
      <c r="A13">
        <v>12</v>
      </c>
      <c r="B13" s="2" t="s">
        <v>25</v>
      </c>
      <c r="C13" s="2" t="s">
        <v>193</v>
      </c>
      <c r="D13" t="str">
        <f ca="1">VLOOKUP(B13,[1]Sheet14!$C:$H,6,0)</f>
        <v>FMSC</v>
      </c>
      <c r="E13" s="2" t="s">
        <v>198</v>
      </c>
      <c r="F13" s="2" t="s">
        <v>211</v>
      </c>
      <c r="G13" s="2" t="s">
        <v>260</v>
      </c>
      <c r="H13" s="2">
        <v>7701835822</v>
      </c>
      <c r="I13" s="2" t="s">
        <v>426</v>
      </c>
      <c r="J13" s="2">
        <v>8800304177</v>
      </c>
      <c r="K13" t="str">
        <f ca="1">VLOOKUP(B13,[1]Sheet14!$C:$I,7,0)</f>
        <v>AVS2 LOGISTICS INDIA PVT LTD</v>
      </c>
      <c r="M13" t="str">
        <f ca="1">VLOOKUP(B13,[1]Sheet14!$C:$J,8,0)</f>
        <v>sitelead-loni@avs2logistics.com</v>
      </c>
    </row>
    <row r="14" spans="1:14">
      <c r="A14">
        <v>13</v>
      </c>
      <c r="B14" s="4" t="s">
        <v>26</v>
      </c>
      <c r="C14" s="4" t="s">
        <v>191</v>
      </c>
      <c r="D14" t="str">
        <f ca="1">VLOOKUP(B14,[1]Sheet14!$C:$H,6,0)</f>
        <v>LMSC</v>
      </c>
      <c r="E14" s="4" t="s">
        <v>195</v>
      </c>
      <c r="F14" s="4" t="s">
        <v>203</v>
      </c>
      <c r="G14" s="4" t="s">
        <v>261</v>
      </c>
      <c r="H14" s="4" t="s">
        <v>405</v>
      </c>
      <c r="I14" s="4" t="s">
        <v>427</v>
      </c>
      <c r="J14" s="4">
        <v>9513666556</v>
      </c>
      <c r="K14" t="str">
        <f ca="1">VLOOKUP(B14,[1]Sheet14!$C:$I,7,0)</f>
        <v>Warehouse Now</v>
      </c>
      <c r="M14" t="str">
        <f ca="1">VLOOKUP(B14,[1]Sheet14!$C:$J,8,0)</f>
        <v>Ujienamartin@warehousenow.in</v>
      </c>
    </row>
    <row r="15" spans="1:14">
      <c r="A15">
        <v>14</v>
      </c>
      <c r="B15" s="2" t="s">
        <v>27</v>
      </c>
      <c r="C15" s="2" t="s">
        <v>193</v>
      </c>
      <c r="D15" t="str">
        <f ca="1">VLOOKUP(B15,[1]Sheet14!$C:$H,6,0)</f>
        <v>FMSC</v>
      </c>
      <c r="E15" s="2" t="s">
        <v>198</v>
      </c>
      <c r="F15" s="2" t="s">
        <v>212</v>
      </c>
      <c r="G15" s="2" t="s">
        <v>262</v>
      </c>
      <c r="H15" s="2">
        <v>8234854147</v>
      </c>
      <c r="I15" s="2"/>
      <c r="J15" s="2"/>
      <c r="K15" t="str">
        <f ca="1">VLOOKUP(B15,[1]Sheet14!$C:$I,7,0)</f>
        <v>Warehouse Now</v>
      </c>
      <c r="M15" t="str">
        <f ca="1">VLOOKUP(B15,[1]Sheet14!$C:$J,8,0)</f>
        <v>frs-core-ops@warehousenow.in</v>
      </c>
    </row>
    <row r="16" spans="1:14">
      <c r="A16">
        <v>15</v>
      </c>
      <c r="B16" s="2" t="s">
        <v>28</v>
      </c>
      <c r="C16" s="2" t="s">
        <v>193</v>
      </c>
      <c r="D16" t="str">
        <f ca="1">VLOOKUP(B16,[1]Sheet14!$C:$H,6,0)</f>
        <v>FMSC</v>
      </c>
      <c r="E16" s="2" t="s">
        <v>199</v>
      </c>
      <c r="F16" s="2" t="s">
        <v>213</v>
      </c>
      <c r="G16" s="7" t="s">
        <v>263</v>
      </c>
      <c r="H16" s="3">
        <v>8278982239</v>
      </c>
      <c r="I16" s="7" t="s">
        <v>428</v>
      </c>
      <c r="J16" s="25">
        <v>7056497596</v>
      </c>
      <c r="K16" t="str">
        <f ca="1">VLOOKUP(B16,[1]Sheet14!$C:$I,7,0)</f>
        <v>Stellar Value Chain Solutions Private Limited</v>
      </c>
      <c r="M16" t="str">
        <f ca="1">VLOOKUP(B16,[1]Sheet14!$C:$J,8,0)</f>
        <v>manish.manish@cevalogistics.com</v>
      </c>
    </row>
    <row r="17" spans="1:13">
      <c r="A17">
        <v>16</v>
      </c>
      <c r="B17" s="4" t="s">
        <v>29</v>
      </c>
      <c r="C17" s="4" t="s">
        <v>193</v>
      </c>
      <c r="D17" t="str">
        <f ca="1">VLOOKUP(B17,[1]Sheet14!$C:$H,6,0)</f>
        <v>FMSC</v>
      </c>
      <c r="E17" s="4" t="s">
        <v>198</v>
      </c>
      <c r="F17" s="4" t="s">
        <v>209</v>
      </c>
      <c r="G17" s="4"/>
      <c r="H17" s="4"/>
      <c r="I17" s="4"/>
      <c r="J17" s="4"/>
      <c r="K17" t="str">
        <f ca="1">VLOOKUP(B17,[1]Sheet14!$C:$I,7,0)</f>
        <v>XpressBees</v>
      </c>
      <c r="M17" t="str">
        <f ca="1">VLOOKUP(B17,[1]Sheet14!$C:$J,8,0)</f>
        <v>GASHA@xpressbees.com</v>
      </c>
    </row>
    <row r="18" spans="1:13">
      <c r="A18">
        <v>17</v>
      </c>
      <c r="B18" s="2" t="s">
        <v>30</v>
      </c>
      <c r="C18" s="2" t="s">
        <v>193</v>
      </c>
      <c r="D18" t="str">
        <f ca="1">VLOOKUP(B18,[1]Sheet14!$C:$H,6,0)</f>
        <v>FMSC</v>
      </c>
      <c r="E18" s="2" t="s">
        <v>198</v>
      </c>
      <c r="F18" s="2" t="s">
        <v>214</v>
      </c>
      <c r="G18" s="2" t="s">
        <v>258</v>
      </c>
      <c r="H18" s="2">
        <v>9451983805</v>
      </c>
      <c r="I18" s="2" t="s">
        <v>429</v>
      </c>
      <c r="J18" s="2">
        <v>9811699234</v>
      </c>
      <c r="K18" t="str">
        <f ca="1">VLOOKUP(B18,[1]Sheet14!$C:$I,7,0)</f>
        <v>CJDarcl India Pvt Ltd</v>
      </c>
      <c r="M18" t="str">
        <f ca="1">VLOOKUP(B18,[1]Sheet14!$C:$J,8,0)</f>
        <v>dasna_cjdarcl_sc@cjdarcl.com</v>
      </c>
    </row>
    <row r="19" spans="1:13">
      <c r="A19">
        <v>18</v>
      </c>
      <c r="B19" s="2" t="s">
        <v>31</v>
      </c>
      <c r="C19" s="2" t="s">
        <v>193</v>
      </c>
      <c r="D19" t="str">
        <f ca="1">VLOOKUP(B19,[1]Sheet14!$C:$H,6,0)</f>
        <v>Gateway</v>
      </c>
      <c r="E19" s="2" t="s">
        <v>198</v>
      </c>
      <c r="F19" s="2" t="s">
        <v>215</v>
      </c>
      <c r="G19" s="2" t="s">
        <v>264</v>
      </c>
      <c r="H19" s="2">
        <v>9718167299</v>
      </c>
      <c r="I19" s="2"/>
      <c r="J19" s="2"/>
      <c r="K19" t="str">
        <f ca="1">VLOOKUP(B19,[1]Sheet14!$C:$I,7,0)</f>
        <v>DP World Express Logistics Private Limited</v>
      </c>
      <c r="M19" t="str">
        <f ca="1">VLOOKUP(B19,[1]Sheet14!$C:$J,8,0)</f>
        <v>Vineet.kumar@dpworld.com</v>
      </c>
    </row>
    <row r="20" spans="1:13">
      <c r="A20">
        <v>19</v>
      </c>
      <c r="B20" s="4" t="s">
        <v>32</v>
      </c>
      <c r="C20" s="4" t="s">
        <v>193</v>
      </c>
      <c r="D20" t="str">
        <f ca="1">VLOOKUP(B20,[1]Sheet14!$C:$H,6,0)</f>
        <v>LMSC</v>
      </c>
      <c r="E20" s="4" t="s">
        <v>198</v>
      </c>
      <c r="F20" s="4" t="s">
        <v>214</v>
      </c>
      <c r="G20" s="4"/>
      <c r="H20" s="4"/>
      <c r="I20" s="4"/>
      <c r="J20" s="4"/>
      <c r="K20" t="str">
        <f ca="1">VLOOKUP(B20,[1]Sheet14!$C:$I,7,0)</f>
        <v>CJDarcl India Pvt Ltd</v>
      </c>
      <c r="M20" t="str">
        <f ca="1">VLOOKUP(B20,[1]Sheet14!$C:$J,8,0)</f>
        <v>dasna_cjdarcl_sc@cjdarcl.com</v>
      </c>
    </row>
    <row r="21" spans="1:13">
      <c r="A21">
        <v>20</v>
      </c>
      <c r="B21" s="2" t="s">
        <v>33</v>
      </c>
      <c r="C21" s="2" t="s">
        <v>192</v>
      </c>
      <c r="D21" t="str">
        <f ca="1">VLOOKUP(B21,[1]Sheet14!$C:$H,6,0)</f>
        <v>LMSC</v>
      </c>
      <c r="E21" s="2" t="s">
        <v>197</v>
      </c>
      <c r="F21" s="2" t="s">
        <v>216</v>
      </c>
      <c r="G21" s="2" t="s">
        <v>265</v>
      </c>
      <c r="H21" s="2">
        <v>9570715341</v>
      </c>
      <c r="I21" s="2" t="s">
        <v>430</v>
      </c>
      <c r="J21" s="2">
        <v>7903508833</v>
      </c>
      <c r="K21" t="str">
        <f ca="1">VLOOKUP(B21,[1]Sheet14!$C:$I,7,0)</f>
        <v>Patliputra Logistics Private Limited</v>
      </c>
      <c r="M21" t="str">
        <f ca="1">VLOOKUP(B21,[1]Sheet14!$C:$J,8,0)</f>
        <v>sanjeev.singh@patliputralogistics.com</v>
      </c>
    </row>
    <row r="22" spans="1:13">
      <c r="A22">
        <v>21</v>
      </c>
      <c r="B22" s="2" t="s">
        <v>34</v>
      </c>
      <c r="C22" s="2" t="s">
        <v>192</v>
      </c>
      <c r="D22" t="str">
        <f ca="1">VLOOKUP(B22,[1]Sheet14!$C:$H,6,0)</f>
        <v>LMSC</v>
      </c>
      <c r="E22" s="2" t="s">
        <v>197</v>
      </c>
      <c r="F22" s="2" t="s">
        <v>217</v>
      </c>
      <c r="G22" s="2" t="s">
        <v>266</v>
      </c>
      <c r="H22" s="2">
        <v>9387469513</v>
      </c>
      <c r="I22" s="2" t="s">
        <v>431</v>
      </c>
      <c r="J22" s="2">
        <v>8638190824</v>
      </c>
      <c r="K22" t="str">
        <f ca="1">VLOOKUP(B22,[1]Sheet14!$C:$I,7,0)</f>
        <v>Loadshare Network Pvt Ltd</v>
      </c>
      <c r="M22" t="str">
        <f ca="1">VLOOKUP(B22,[1]Sheet14!$C:$J,8,0)</f>
        <v>lsn_sc_ct@loadshare.net</v>
      </c>
    </row>
    <row r="23" spans="1:13">
      <c r="A23">
        <v>22</v>
      </c>
      <c r="B23" s="2" t="s">
        <v>35</v>
      </c>
      <c r="C23" s="2" t="s">
        <v>192</v>
      </c>
      <c r="D23" t="str">
        <f ca="1">VLOOKUP(B23,[1]Sheet14!$C:$H,6,0)</f>
        <v>LMSC</v>
      </c>
      <c r="E23" s="2" t="s">
        <v>197</v>
      </c>
      <c r="F23" s="2" t="s">
        <v>217</v>
      </c>
      <c r="G23" s="2" t="s">
        <v>267</v>
      </c>
      <c r="H23" s="16">
        <v>8486874991</v>
      </c>
      <c r="I23" s="2" t="s">
        <v>432</v>
      </c>
      <c r="J23" s="2">
        <v>8811811385</v>
      </c>
      <c r="K23" t="str">
        <f ca="1">VLOOKUP(B23,[1]Sheet14!$C:$I,7,0)</f>
        <v>Loadshare Network Pvt Ltd</v>
      </c>
      <c r="M23" t="str">
        <f ca="1">VLOOKUP(B23,[1]Sheet14!$C:$J,8,0)</f>
        <v>lsn_sc_ct@loadshare.net</v>
      </c>
    </row>
    <row r="24" spans="1:13">
      <c r="A24">
        <v>23</v>
      </c>
      <c r="B24" s="2" t="s">
        <v>36</v>
      </c>
      <c r="C24" s="2" t="s">
        <v>193</v>
      </c>
      <c r="D24" t="str">
        <f ca="1">VLOOKUP(B24,[1]Sheet14!$C:$H,6,0)</f>
        <v>FMSC</v>
      </c>
      <c r="E24" s="2" t="s">
        <v>199</v>
      </c>
      <c r="F24" s="2" t="s">
        <v>213</v>
      </c>
      <c r="G24" s="2" t="s">
        <v>268</v>
      </c>
      <c r="H24" s="2">
        <v>7027669312</v>
      </c>
      <c r="I24" s="7" t="s">
        <v>433</v>
      </c>
      <c r="J24" s="25">
        <v>8059776160</v>
      </c>
      <c r="K24" t="str">
        <f ca="1">VLOOKUP(B24,[1]Sheet14!$C:$I,7,0)</f>
        <v>FREIGHT SYSTEMS INDIA PRIVATE LIMITED</v>
      </c>
      <c r="M24" t="str">
        <f ca="1">VLOOKUP(B24,[1]Sheet14!$C:$J,8,0)</f>
        <v>Reports.fks@freightsystems.com</v>
      </c>
    </row>
    <row r="25" spans="1:13">
      <c r="A25">
        <v>24</v>
      </c>
      <c r="B25" s="4" t="s">
        <v>37</v>
      </c>
      <c r="C25" s="4" t="s">
        <v>192</v>
      </c>
      <c r="D25" t="str">
        <f ca="1">VLOOKUP(B25,[1]Sheet14!$C:$H,6,0)</f>
        <v>FMSC</v>
      </c>
      <c r="E25" s="4" t="s">
        <v>197</v>
      </c>
      <c r="F25" s="4" t="s">
        <v>218</v>
      </c>
      <c r="G25" s="4" t="s">
        <v>269</v>
      </c>
      <c r="H25" s="4">
        <v>6294745548</v>
      </c>
      <c r="I25" s="4" t="s">
        <v>434</v>
      </c>
      <c r="J25" s="4" t="s">
        <v>543</v>
      </c>
      <c r="K25" t="str">
        <f ca="1">VLOOKUP(B25,[1]Sheet14!$C:$I,7,0)</f>
        <v>XpressBees</v>
      </c>
      <c r="M25" t="str">
        <f ca="1">VLOOKUP(B25,[1]Sheet14!$C:$J,8,0)</f>
        <v>sovon.sarkar@xpressbees.com</v>
      </c>
    </row>
    <row r="26" spans="1:13">
      <c r="A26">
        <v>25</v>
      </c>
      <c r="B26" s="4" t="s">
        <v>38</v>
      </c>
      <c r="C26" s="4" t="s">
        <v>191</v>
      </c>
      <c r="D26" t="str">
        <f ca="1">VLOOKUP(B26,[1]Sheet14!$C:$H,6,0)</f>
        <v>LMSC</v>
      </c>
      <c r="E26" s="4" t="s">
        <v>195</v>
      </c>
      <c r="F26" s="4" t="s">
        <v>219</v>
      </c>
      <c r="G26" s="4" t="s">
        <v>270</v>
      </c>
      <c r="H26" s="4">
        <v>7981426204</v>
      </c>
      <c r="I26" s="4" t="s">
        <v>435</v>
      </c>
      <c r="J26" s="4">
        <v>9966153878</v>
      </c>
      <c r="K26" t="str">
        <f ca="1">VLOOKUP(B26,[1]Sheet14!$C:$I,7,0)</f>
        <v>Allcargo Supply Chain Pvt. Ltd.</v>
      </c>
      <c r="M26" t="str">
        <f ca="1">VLOOKUP(B26,[1]Sheet14!$C:$J,8,0)</f>
        <v>pilligundla.murari@allcargosupplychain.com</v>
      </c>
    </row>
    <row r="27" spans="1:13">
      <c r="A27">
        <v>26</v>
      </c>
      <c r="B27" s="2" t="s">
        <v>39</v>
      </c>
      <c r="C27" s="2" t="s">
        <v>190</v>
      </c>
      <c r="D27" t="str">
        <f ca="1">VLOOKUP(B27,[1]Sheet14!$C:$H,6,0)</f>
        <v>LMSC</v>
      </c>
      <c r="E27" s="2" t="s">
        <v>196</v>
      </c>
      <c r="F27" s="2" t="s">
        <v>206</v>
      </c>
      <c r="G27" s="2" t="s">
        <v>271</v>
      </c>
      <c r="H27" s="2">
        <v>7378792307</v>
      </c>
      <c r="I27" s="2" t="s">
        <v>436</v>
      </c>
      <c r="J27" s="2">
        <v>7999541157</v>
      </c>
      <c r="K27" t="str">
        <f ca="1">VLOOKUP(B27,[1]Sheet14!$C:$I,7,0)</f>
        <v>SHREE VASU LOGISTICS LTD</v>
      </c>
      <c r="M27" t="str">
        <f ca="1">VLOOKUP(B27,[1]Sheet14!$C:$J,8,0)</f>
        <v>warehouseincharge@shreevasulogistics.com</v>
      </c>
    </row>
    <row r="28" spans="1:13">
      <c r="A28">
        <v>27</v>
      </c>
      <c r="B28" s="4" t="s">
        <v>40</v>
      </c>
      <c r="C28" s="4" t="s">
        <v>190</v>
      </c>
      <c r="D28" t="str">
        <f ca="1">VLOOKUP(B28,[1]Sheet14!$C:$H,6,0)</f>
        <v>FMSC</v>
      </c>
      <c r="E28" s="4" t="s">
        <v>196</v>
      </c>
      <c r="F28" s="4" t="s">
        <v>220</v>
      </c>
      <c r="G28" s="4" t="s">
        <v>272</v>
      </c>
      <c r="H28" s="4">
        <v>8192051386</v>
      </c>
      <c r="I28" s="4" t="s">
        <v>437</v>
      </c>
      <c r="J28" s="4">
        <v>9650365405</v>
      </c>
      <c r="K28" t="str">
        <f ca="1">VLOOKUP(B28,[1]Sheet14!$C:$I,7,0)</f>
        <v>Mahindra Logistics Limited</v>
      </c>
      <c r="M28" t="str">
        <f ca="1">VLOOKUP(B28,[1]Sheet14!$C:$J,8,0)</f>
        <v>BAIRWA.SHISHUPAL@mahindralogistics.com</v>
      </c>
    </row>
    <row r="29" spans="1:13">
      <c r="A29">
        <v>28</v>
      </c>
      <c r="B29" s="2" t="s">
        <v>41</v>
      </c>
      <c r="C29" s="2" t="s">
        <v>190</v>
      </c>
      <c r="D29" t="str">
        <f ca="1">VLOOKUP(B29,[1]Sheet14!$C:$H,6,0)</f>
        <v>LMSC</v>
      </c>
      <c r="E29" s="2" t="s">
        <v>196</v>
      </c>
      <c r="F29" s="2" t="s">
        <v>220</v>
      </c>
      <c r="G29" s="2" t="s">
        <v>273</v>
      </c>
      <c r="H29" s="2">
        <v>6352662236</v>
      </c>
      <c r="I29" s="2" t="s">
        <v>438</v>
      </c>
      <c r="J29" s="2">
        <v>8107269797</v>
      </c>
      <c r="K29" t="str">
        <f ca="1">VLOOKUP(B29,[1]Sheet14!$C:$I,7,0)</f>
        <v>Patliputra Logistics Private Limited</v>
      </c>
      <c r="M29" t="str">
        <f ca="1">VLOOKUP(B29,[1]Sheet14!$C:$J,8,0)</f>
        <v>manoj.verma@patliputralogistics.com</v>
      </c>
    </row>
    <row r="30" spans="1:13">
      <c r="A30">
        <v>29</v>
      </c>
      <c r="B30" s="2" t="s">
        <v>42</v>
      </c>
      <c r="C30" s="2" t="s">
        <v>190</v>
      </c>
      <c r="D30" t="str">
        <f ca="1">VLOOKUP(B30,[1]Sheet14!$C:$H,6,0)</f>
        <v>FMSC</v>
      </c>
      <c r="E30" s="2" t="s">
        <v>196</v>
      </c>
      <c r="F30" s="2" t="s">
        <v>221</v>
      </c>
      <c r="G30" s="2" t="s">
        <v>274</v>
      </c>
      <c r="H30" s="2">
        <v>9358389188</v>
      </c>
      <c r="I30" s="2" t="s">
        <v>439</v>
      </c>
      <c r="J30" s="2">
        <v>9119295841</v>
      </c>
      <c r="K30" t="str">
        <f ca="1">VLOOKUP(B30,[1]Sheet14!$C:$I,7,0)</f>
        <v>DP World Express Logistics Private Limited</v>
      </c>
      <c r="M30" t="str">
        <f ca="1">VLOOKUP(B30,[1]Sheet14!$C:$J,8,0)</f>
        <v>pawan.yadav@dpworld.com</v>
      </c>
    </row>
    <row r="31" spans="1:13">
      <c r="A31">
        <v>30</v>
      </c>
      <c r="B31" s="4" t="s">
        <v>43</v>
      </c>
      <c r="C31" s="4" t="s">
        <v>190</v>
      </c>
      <c r="D31" t="str">
        <f ca="1">VLOOKUP(B31,[1]Sheet14!$C:$H,6,0)</f>
        <v>FMSC</v>
      </c>
      <c r="E31" s="4" t="s">
        <v>196</v>
      </c>
      <c r="F31" s="4" t="s">
        <v>220</v>
      </c>
      <c r="G31" s="4"/>
      <c r="H31" s="4"/>
      <c r="I31" s="4"/>
      <c r="J31" s="4"/>
      <c r="K31" t="str">
        <f ca="1">VLOOKUP(B31,[1]Sheet14!$C:$I,7,0)</f>
        <v>XpressBees</v>
      </c>
      <c r="M31" t="str">
        <f ca="1">VLOOKUP(B31,[1]Sheet14!$C:$J,8,0)</f>
        <v>manish.pandey1@xpressbees.com</v>
      </c>
    </row>
    <row r="32" spans="1:13">
      <c r="A32">
        <v>31</v>
      </c>
      <c r="B32" s="2" t="s">
        <v>44</v>
      </c>
      <c r="C32" s="2" t="s">
        <v>190</v>
      </c>
      <c r="D32" t="str">
        <f ca="1">VLOOKUP(B32,[1]Sheet14!$C:$H,6,0)</f>
        <v>LMSC</v>
      </c>
      <c r="E32" s="2" t="s">
        <v>196</v>
      </c>
      <c r="F32" s="2" t="s">
        <v>220</v>
      </c>
      <c r="G32" s="2" t="s">
        <v>275</v>
      </c>
      <c r="H32" s="2">
        <v>8952933305</v>
      </c>
      <c r="I32" s="2" t="s">
        <v>440</v>
      </c>
      <c r="J32" s="26">
        <v>9318344671</v>
      </c>
      <c r="K32" t="str">
        <f ca="1">VLOOKUP(B32,[1]Sheet14!$C:$I,7,0)</f>
        <v>SHREE VASU LOGISTICS LTD</v>
      </c>
      <c r="M32" t="str">
        <f ca="1">VLOOKUP(B32,[1]Sheet14!$C:$J,8,0)</f>
        <v>mukesh@shreevasulogistics.com</v>
      </c>
    </row>
    <row r="33" spans="1:13">
      <c r="A33">
        <v>32</v>
      </c>
      <c r="B33" s="2" t="s">
        <v>45</v>
      </c>
      <c r="C33" s="2" t="s">
        <v>193</v>
      </c>
      <c r="D33" t="str">
        <f ca="1">VLOOKUP(B33,[1]Sheet14!$C:$H,6,0)</f>
        <v>LMSC</v>
      </c>
      <c r="E33" s="2" t="s">
        <v>200</v>
      </c>
      <c r="F33" s="2" t="s">
        <v>222</v>
      </c>
      <c r="G33" s="2" t="s">
        <v>276</v>
      </c>
      <c r="H33" s="2">
        <v>8400863508</v>
      </c>
      <c r="I33" s="2" t="s">
        <v>441</v>
      </c>
      <c r="J33" s="2">
        <v>9696055700</v>
      </c>
      <c r="K33" t="str">
        <f ca="1">VLOOKUP(B33,[1]Sheet14!$C:$I,7,0)</f>
        <v>Ntex Transportation Services Pvt Ltd.</v>
      </c>
      <c r="M33" t="str">
        <f ca="1">VLOOKUP(B33,[1]Sheet14!$C:$J,8,0)</f>
        <v>Controltower@elastic.run</v>
      </c>
    </row>
    <row r="34" spans="1:13">
      <c r="A34">
        <v>33</v>
      </c>
      <c r="B34" s="4" t="s">
        <v>46</v>
      </c>
      <c r="C34" s="4" t="s">
        <v>191</v>
      </c>
      <c r="D34" t="str">
        <f ca="1">VLOOKUP(B34,[1]Sheet14!$C:$H,6,0)</f>
        <v>LMSC</v>
      </c>
      <c r="E34" s="4" t="s">
        <v>195</v>
      </c>
      <c r="F34" s="4" t="s">
        <v>223</v>
      </c>
      <c r="G34" s="4"/>
      <c r="H34" s="4"/>
      <c r="I34" s="4"/>
      <c r="J34" s="4"/>
      <c r="K34" t="str">
        <f ca="1">VLOOKUP(B34,[1]Sheet14!$C:$I,7,0)</f>
        <v>Shree Maruti Integrated Logistics Limited</v>
      </c>
      <c r="M34" t="str">
        <f ca="1">VLOOKUP(B34,[1]Sheet14!$C:$J,8,0)</f>
        <v xml:space="preserve">bhupendra.singh@shreemaruti.com </v>
      </c>
    </row>
    <row r="35" spans="1:13">
      <c r="A35">
        <v>34</v>
      </c>
      <c r="B35" s="2" t="s">
        <v>47</v>
      </c>
      <c r="C35" s="2" t="s">
        <v>192</v>
      </c>
      <c r="D35" t="str">
        <f ca="1">VLOOKUP(B35,[1]Sheet14!$C:$H,6,0)</f>
        <v>LMSC</v>
      </c>
      <c r="E35" s="2" t="s">
        <v>197</v>
      </c>
      <c r="F35" s="2" t="s">
        <v>218</v>
      </c>
      <c r="G35" s="6" t="s">
        <v>277</v>
      </c>
      <c r="H35" s="2">
        <v>8910122638</v>
      </c>
      <c r="I35" s="2" t="s">
        <v>442</v>
      </c>
      <c r="J35" s="2" t="s">
        <v>544</v>
      </c>
      <c r="K35" t="str">
        <f ca="1">VLOOKUP(B35,[1]Sheet14!$C:$I,7,0)</f>
        <v>Allcargo Supply Chain Pvt. Ltd.</v>
      </c>
      <c r="M35" t="str">
        <f ca="1">VLOOKUP(B35,[1]Sheet14!$C:$J,8,0)</f>
        <v>tamal.mete@allcargosupplychain.com</v>
      </c>
    </row>
    <row r="36" spans="1:13">
      <c r="A36">
        <v>35</v>
      </c>
      <c r="B36" s="4" t="s">
        <v>48</v>
      </c>
      <c r="C36" s="4" t="s">
        <v>193</v>
      </c>
      <c r="D36" t="str">
        <f ca="1">VLOOKUP(B36,[1]Sheet14!$C:$H,6,0)</f>
        <v>LMSC</v>
      </c>
      <c r="E36" s="4" t="s">
        <v>200</v>
      </c>
      <c r="F36" s="4" t="s">
        <v>222</v>
      </c>
      <c r="G36" s="4" t="s">
        <v>278</v>
      </c>
      <c r="H36" s="4">
        <v>8922876280</v>
      </c>
      <c r="I36" s="4" t="s">
        <v>443</v>
      </c>
      <c r="J36" s="4">
        <v>8574176858</v>
      </c>
      <c r="K36" t="str">
        <f ca="1">VLOOKUP(B36,[1]Sheet14!$C:$I,7,0)</f>
        <v>Loadshare Network Pvt Ltd</v>
      </c>
      <c r="M36" t="str">
        <f ca="1">VLOOKUP(B36,[1]Sheet14!$C:$J,8,0)</f>
        <v>mahadev@loadshare.net</v>
      </c>
    </row>
    <row r="37" spans="1:13">
      <c r="A37">
        <v>36</v>
      </c>
      <c r="B37" s="2" t="s">
        <v>49</v>
      </c>
      <c r="C37" s="2" t="s">
        <v>193</v>
      </c>
      <c r="D37" t="str">
        <f ca="1">VLOOKUP(B37,[1]Sheet14!$C:$H,6,0)</f>
        <v>LMSC</v>
      </c>
      <c r="E37" s="2" t="s">
        <v>200</v>
      </c>
      <c r="F37" s="2" t="s">
        <v>222</v>
      </c>
      <c r="G37" s="2" t="s">
        <v>279</v>
      </c>
      <c r="H37" s="2">
        <v>8090632265</v>
      </c>
      <c r="I37" s="2" t="s">
        <v>444</v>
      </c>
      <c r="J37" s="2">
        <v>7311120913</v>
      </c>
      <c r="K37" t="str">
        <f ca="1">VLOOKUP(B37,[1]Sheet14!$C:$I,7,0)</f>
        <v>Ntex Transportation Services Pvt Ltd.</v>
      </c>
      <c r="M37" t="str">
        <f ca="1">VLOOKUP(B37,[1]Sheet14!$C:$J,8,0)</f>
        <v>controltower@elastic.run</v>
      </c>
    </row>
    <row r="38" spans="1:13">
      <c r="A38">
        <v>37</v>
      </c>
      <c r="B38" s="4" t="s">
        <v>50</v>
      </c>
      <c r="C38" s="4" t="s">
        <v>193</v>
      </c>
      <c r="D38" t="str">
        <f ca="1">VLOOKUP(B38,[1]Sheet14!$C:$H,6,0)</f>
        <v>LMSC</v>
      </c>
      <c r="E38" s="4" t="s">
        <v>200</v>
      </c>
      <c r="F38" s="4" t="s">
        <v>224</v>
      </c>
      <c r="G38" s="4" t="s">
        <v>280</v>
      </c>
      <c r="H38" s="4">
        <v>8847290992</v>
      </c>
      <c r="I38" s="4" t="s">
        <v>445</v>
      </c>
      <c r="J38" s="4" t="s">
        <v>406</v>
      </c>
      <c r="K38" t="str">
        <f ca="1">VLOOKUP(B38,[1]Sheet14!$C:$I,7,0)</f>
        <v>Mahindra Logistics Limited</v>
      </c>
      <c r="M38" t="str">
        <f ca="1">VLOOKUP(B38,[1]Sheet14!$C:$J,8,0)</f>
        <v>Lus_team@mahindralogistics.com</v>
      </c>
    </row>
    <row r="39" spans="1:13">
      <c r="A39">
        <v>38</v>
      </c>
      <c r="B39" s="2" t="s">
        <v>51</v>
      </c>
      <c r="C39" s="2" t="s">
        <v>193</v>
      </c>
      <c r="D39" t="str">
        <f ca="1">VLOOKUP(B39,[1]Sheet14!$C:$H,6,0)</f>
        <v>FMSC</v>
      </c>
      <c r="E39" s="2" t="s">
        <v>200</v>
      </c>
      <c r="F39" s="2" t="s">
        <v>224</v>
      </c>
      <c r="G39" s="2" t="s">
        <v>281</v>
      </c>
      <c r="H39" s="2" t="s">
        <v>406</v>
      </c>
      <c r="I39" s="2" t="s">
        <v>446</v>
      </c>
      <c r="J39" s="2">
        <v>9872875565</v>
      </c>
      <c r="K39" t="str">
        <f ca="1">VLOOKUP(B39,[1]Sheet14!$C:$I,7,0)</f>
        <v>Shree Maruti Integrated Logistics Limited</v>
      </c>
      <c r="M39" t="str">
        <f ca="1">VLOOKUP(B39,[1]Sheet14!$C:$J,8,0)</f>
        <v>jitendra.arya@shreemaruti.com</v>
      </c>
    </row>
    <row r="40" spans="1:13">
      <c r="A40">
        <v>39</v>
      </c>
      <c r="B40" s="2" t="s">
        <v>52</v>
      </c>
      <c r="C40" s="2" t="s">
        <v>193</v>
      </c>
      <c r="D40" t="str">
        <f ca="1">VLOOKUP(B40,[1]Sheet14!$C:$H,6,0)</f>
        <v>FMSC</v>
      </c>
      <c r="E40" s="2" t="s">
        <v>198</v>
      </c>
      <c r="F40" s="2" t="s">
        <v>225</v>
      </c>
      <c r="G40" s="2" t="s">
        <v>282</v>
      </c>
      <c r="H40" s="2">
        <v>8708294939</v>
      </c>
      <c r="I40" s="2" t="s">
        <v>447</v>
      </c>
      <c r="J40" s="2">
        <v>9888665095</v>
      </c>
      <c r="K40" t="str">
        <f ca="1">VLOOKUP(B40,[1]Sheet14!$C:$I,7,0)</f>
        <v>CJDarcl India Pvt Ltd</v>
      </c>
      <c r="M40" t="str">
        <f ca="1">VLOOKUP(B40,[1]Sheet14!$C:$J,8,0)</f>
        <v>mundka_cjdarcl_sc@cjdarcl.com</v>
      </c>
    </row>
    <row r="41" spans="1:13">
      <c r="A41">
        <v>40</v>
      </c>
      <c r="B41" s="2" t="s">
        <v>53</v>
      </c>
      <c r="C41" s="2" t="s">
        <v>190</v>
      </c>
      <c r="D41" t="str">
        <f ca="1">VLOOKUP(B41,[1]Sheet14!$C:$H,6,0)</f>
        <v>LMSC</v>
      </c>
      <c r="E41" s="2" t="s">
        <v>196</v>
      </c>
      <c r="F41" s="2" t="s">
        <v>226</v>
      </c>
      <c r="G41" s="6" t="s">
        <v>283</v>
      </c>
      <c r="H41" s="2" t="s">
        <v>407</v>
      </c>
      <c r="I41" s="6" t="s">
        <v>448</v>
      </c>
      <c r="J41" s="2">
        <v>8329814688</v>
      </c>
      <c r="K41" t="str">
        <f ca="1">VLOOKUP(B41,[1]Sheet14!$C:$I,7,0)</f>
        <v>Gotek Logistics Private Limited</v>
      </c>
      <c r="M41" t="str">
        <f ca="1">VLOOKUP(B41,[1]Sheet14!$C:$J,8,0)</f>
        <v>prashanth.b@isalogistics.in</v>
      </c>
    </row>
    <row r="42" spans="1:13">
      <c r="A42">
        <v>41</v>
      </c>
      <c r="B42" s="2" t="s">
        <v>54</v>
      </c>
      <c r="C42" s="2" t="s">
        <v>192</v>
      </c>
      <c r="D42" t="str">
        <f ca="1">VLOOKUP(B42,[1]Sheet14!$C:$H,6,0)</f>
        <v>LMSC</v>
      </c>
      <c r="E42" s="2" t="s">
        <v>197</v>
      </c>
      <c r="F42" s="2" t="s">
        <v>227</v>
      </c>
      <c r="G42" s="2" t="s">
        <v>284</v>
      </c>
      <c r="H42" s="2">
        <v>9709250151</v>
      </c>
      <c r="I42" s="20" t="s">
        <v>449</v>
      </c>
      <c r="J42" s="2">
        <v>9798676855</v>
      </c>
      <c r="K42" t="str">
        <f ca="1">VLOOKUP(B42,[1]Sheet14!$C:$I,7,0)</f>
        <v>Loadshare Network Pvt Ltd</v>
      </c>
      <c r="M42" t="str">
        <f ca="1">VLOOKUP(B42,[1]Sheet14!$C:$J,8,0)</f>
        <v xml:space="preserve">santu@loadshare.net </v>
      </c>
    </row>
    <row r="43" spans="1:13">
      <c r="A43">
        <v>42</v>
      </c>
      <c r="B43" s="4" t="s">
        <v>55</v>
      </c>
      <c r="C43" s="4" t="s">
        <v>190</v>
      </c>
      <c r="D43" t="str">
        <f ca="1">VLOOKUP(B43,[1]Sheet14!$C:$H,6,0)</f>
        <v>LMSC</v>
      </c>
      <c r="E43" s="4" t="s">
        <v>196</v>
      </c>
      <c r="F43" s="4" t="s">
        <v>228</v>
      </c>
      <c r="G43" s="4"/>
      <c r="H43" s="4"/>
      <c r="I43" s="4"/>
      <c r="J43" s="4"/>
      <c r="K43" t="str">
        <f ca="1">VLOOKUP(B43,[1]Sheet14!$C:$I,7,0)</f>
        <v>AVS2 LOGISTICS INDIA PVT LTD</v>
      </c>
      <c r="M43" t="str">
        <f ca="1">VLOOKUP(B43,[1]Sheet14!$C:$J,8,0)</f>
        <v>sitelead-pes@avs2logisticsindia.com</v>
      </c>
    </row>
    <row r="44" spans="1:13">
      <c r="A44">
        <v>43</v>
      </c>
      <c r="B44" s="4" t="s">
        <v>56</v>
      </c>
      <c r="C44" s="4" t="s">
        <v>190</v>
      </c>
      <c r="D44" t="str">
        <f ca="1">VLOOKUP(B44,[1]Sheet14!$C:$H,6,0)</f>
        <v>LMSC</v>
      </c>
      <c r="E44" s="4" t="s">
        <v>196</v>
      </c>
      <c r="F44" s="4" t="s">
        <v>226</v>
      </c>
      <c r="G44" s="4" t="s">
        <v>283</v>
      </c>
      <c r="H44" s="4">
        <v>7020038407</v>
      </c>
      <c r="I44" s="4" t="s">
        <v>450</v>
      </c>
      <c r="J44" s="4">
        <v>7875979020</v>
      </c>
      <c r="K44" t="str">
        <f ca="1">VLOOKUP(B44,[1]Sheet14!$C:$I,7,0)</f>
        <v>Mahindra Logistics Limited</v>
      </c>
      <c r="M44" t="str">
        <f ca="1">VLOOKUP(B44,[1]Sheet14!$C:$J,8,0)</f>
        <v>MLL-Nagpur-Ngp@mahindralogistics.com</v>
      </c>
    </row>
    <row r="45" spans="1:13">
      <c r="A45">
        <v>44</v>
      </c>
      <c r="B45" s="2" t="s">
        <v>57</v>
      </c>
      <c r="C45" s="2" t="s">
        <v>190</v>
      </c>
      <c r="D45" t="str">
        <f ca="1">VLOOKUP(B45,[1]Sheet14!$C:$H,6,0)</f>
        <v>FMSC</v>
      </c>
      <c r="E45" s="2" t="s">
        <v>194</v>
      </c>
      <c r="F45" s="2" t="s">
        <v>229</v>
      </c>
      <c r="G45" s="2" t="s">
        <v>285</v>
      </c>
      <c r="H45" s="2">
        <v>9243766994</v>
      </c>
      <c r="I45" s="2" t="s">
        <v>451</v>
      </c>
      <c r="J45" s="25">
        <v>8626930962</v>
      </c>
      <c r="K45" t="str">
        <f ca="1">VLOOKUP(B45,[1]Sheet14!$C:$I,7,0)</f>
        <v>FIBS Logistics India Private Limited</v>
      </c>
      <c r="M45" t="str">
        <f ca="1">VLOOKUP(B45,[1]Sheet14!$C:$J,8,0)</f>
        <v xml:space="preserve">rajesh.maurya@fibs-logistics.com </v>
      </c>
    </row>
    <row r="46" spans="1:13">
      <c r="A46">
        <v>45</v>
      </c>
      <c r="B46" s="2" t="s">
        <v>58</v>
      </c>
      <c r="C46" s="2" t="s">
        <v>192</v>
      </c>
      <c r="D46" t="str">
        <f ca="1">VLOOKUP(B46,[1]Sheet14!$C:$H,6,0)</f>
        <v>LMSC</v>
      </c>
      <c r="E46" s="2" t="s">
        <v>197</v>
      </c>
      <c r="F46" s="2" t="s">
        <v>216</v>
      </c>
      <c r="G46" s="2" t="s">
        <v>286</v>
      </c>
      <c r="H46" s="2">
        <v>7004987908</v>
      </c>
      <c r="I46" s="2" t="s">
        <v>452</v>
      </c>
      <c r="J46" s="2" t="s">
        <v>545</v>
      </c>
      <c r="K46" t="str">
        <f ca="1">VLOOKUP(B46,[1]Sheet14!$C:$I,7,0)</f>
        <v>Patliputra Logistics Private Limited</v>
      </c>
      <c r="M46" t="str">
        <f ca="1">VLOOKUP(B46,[1]Sheet14!$C:$J,8,0)</f>
        <v>sanjeev.singh@patliputralogistics.com</v>
      </c>
    </row>
    <row r="47" spans="1:13">
      <c r="A47">
        <v>46</v>
      </c>
      <c r="B47" s="2" t="s">
        <v>59</v>
      </c>
      <c r="C47" s="2" t="s">
        <v>192</v>
      </c>
      <c r="D47" t="str">
        <f ca="1">VLOOKUP(B47,[1]Sheet14!$C:$H,6,0)</f>
        <v>LMSC</v>
      </c>
      <c r="E47" s="2" t="s">
        <v>197</v>
      </c>
      <c r="F47" s="2" t="s">
        <v>217</v>
      </c>
      <c r="G47" s="2" t="s">
        <v>287</v>
      </c>
      <c r="H47" s="2">
        <v>8415860928</v>
      </c>
      <c r="I47" s="2" t="s">
        <v>453</v>
      </c>
      <c r="J47" s="2">
        <v>7035845116</v>
      </c>
      <c r="K47" t="str">
        <f ca="1">VLOOKUP(B47,[1]Sheet14!$C:$I,7,0)</f>
        <v>Progex Logistics Private Limited</v>
      </c>
      <c r="M47" t="str">
        <f ca="1">VLOOKUP(B47,[1]Sheet14!$C:$J,8,0)</f>
        <v>arun.b@progex.in</v>
      </c>
    </row>
    <row r="48" spans="1:13">
      <c r="A48">
        <v>47</v>
      </c>
      <c r="B48" s="2" t="s">
        <v>60</v>
      </c>
      <c r="C48" s="2" t="s">
        <v>192</v>
      </c>
      <c r="D48" t="str">
        <f ca="1">VLOOKUP(B48,[1]Sheet14!$C:$H,6,0)</f>
        <v>LMSC</v>
      </c>
      <c r="E48" s="2" t="s">
        <v>197</v>
      </c>
      <c r="F48" s="2" t="s">
        <v>217</v>
      </c>
      <c r="G48" s="2" t="s">
        <v>288</v>
      </c>
      <c r="H48" s="2">
        <v>7002876911</v>
      </c>
      <c r="I48" s="2" t="s">
        <v>454</v>
      </c>
      <c r="J48" s="2">
        <v>7002340731</v>
      </c>
      <c r="K48" t="str">
        <f ca="1">VLOOKUP(B48,[1]Sheet14!$C:$I,7,0)</f>
        <v>Progex Logistics Private Limited</v>
      </c>
      <c r="M48" t="str">
        <f ca="1">VLOOKUP(B48,[1]Sheet14!$C:$J,8,0)</f>
        <v>arun.b@progex.in</v>
      </c>
    </row>
    <row r="49" spans="1:13">
      <c r="A49">
        <v>48</v>
      </c>
      <c r="B49" s="2" t="s">
        <v>61</v>
      </c>
      <c r="C49" s="2" t="s">
        <v>192</v>
      </c>
      <c r="D49" t="str">
        <f ca="1">VLOOKUP(B49,[1]Sheet14!$C:$H,6,0)</f>
        <v>LMSC</v>
      </c>
      <c r="E49" s="2" t="s">
        <v>197</v>
      </c>
      <c r="F49" s="2" t="s">
        <v>230</v>
      </c>
      <c r="G49" s="2" t="s">
        <v>289</v>
      </c>
      <c r="H49" s="2">
        <v>7031340486</v>
      </c>
      <c r="I49" s="2" t="s">
        <v>455</v>
      </c>
      <c r="J49" s="2">
        <v>8678885974</v>
      </c>
      <c r="K49" t="str">
        <f ca="1">VLOOKUP(B49,[1]Sheet14!$C:$I,7,0)</f>
        <v>Esskaylogistics</v>
      </c>
      <c r="M49" t="str">
        <f ca="1">VLOOKUP(B49,[1]Sheet14!$C:$J,8,0)</f>
        <v>sobhan.jana@esskaylogistics.co.in</v>
      </c>
    </row>
    <row r="50" spans="1:13" ht="34.5">
      <c r="A50">
        <v>49</v>
      </c>
      <c r="B50" s="2" t="s">
        <v>62</v>
      </c>
      <c r="C50" s="2" t="s">
        <v>193</v>
      </c>
      <c r="D50" t="str">
        <f ca="1">VLOOKUP(B50,[1]Sheet14!$C:$H,6,0)</f>
        <v>FMSC</v>
      </c>
      <c r="E50" s="2" t="s">
        <v>199</v>
      </c>
      <c r="F50" s="2" t="s">
        <v>231</v>
      </c>
      <c r="G50" s="2" t="s">
        <v>290</v>
      </c>
      <c r="H50" s="2">
        <v>8285808090</v>
      </c>
      <c r="I50" s="21" t="s">
        <v>456</v>
      </c>
      <c r="J50" s="21">
        <v>9315681948</v>
      </c>
      <c r="K50" t="str">
        <f ca="1">VLOOKUP(B50,[1]Sheet14!$C:$I,7,0)</f>
        <v>Apollo Supply Chain Pvt Ltd</v>
      </c>
      <c r="M50" t="str">
        <f ca="1">VLOOKUP(B50,[1]Sheet14!$C:$J,8,0)</f>
        <v>meesho@apollosupplychain.com</v>
      </c>
    </row>
    <row r="51" spans="1:13">
      <c r="A51">
        <v>50</v>
      </c>
      <c r="B51" s="2" t="s">
        <v>63</v>
      </c>
      <c r="C51" s="2" t="s">
        <v>190</v>
      </c>
      <c r="D51" t="str">
        <f ca="1">VLOOKUP(B51,[1]Sheet14!$C:$H,6,0)</f>
        <v>FMSC</v>
      </c>
      <c r="E51" s="2" t="s">
        <v>194</v>
      </c>
      <c r="F51" s="2" t="s">
        <v>232</v>
      </c>
      <c r="G51" s="2" t="s">
        <v>291</v>
      </c>
      <c r="H51" s="2">
        <v>8426846828</v>
      </c>
      <c r="I51" s="2" t="s">
        <v>293</v>
      </c>
      <c r="J51" s="2">
        <v>9512281207</v>
      </c>
      <c r="K51" t="str">
        <f ca="1">VLOOKUP(B51,[1]Sheet14!$C:$I,7,0)</f>
        <v>Stellar Value Chain Solutions Private Limited</v>
      </c>
      <c r="M51" t="str">
        <f ca="1">VLOOKUP(B51,[1]Sheet14!$C:$J,8,0)</f>
        <v>vijaykumar.solanki@cevalogistics.com</v>
      </c>
    </row>
    <row r="52" spans="1:13">
      <c r="A52">
        <v>51</v>
      </c>
      <c r="B52" s="2" t="s">
        <v>64</v>
      </c>
      <c r="C52" s="2" t="s">
        <v>190</v>
      </c>
      <c r="D52" t="str">
        <f ca="1">VLOOKUP(B52,[1]Sheet14!$C:$H,6,0)</f>
        <v>FMSC</v>
      </c>
      <c r="E52" s="2" t="s">
        <v>194</v>
      </c>
      <c r="F52" s="2" t="s">
        <v>233</v>
      </c>
      <c r="G52" s="2" t="s">
        <v>292</v>
      </c>
      <c r="H52" s="2">
        <v>8690056113</v>
      </c>
      <c r="I52" s="2" t="s">
        <v>457</v>
      </c>
      <c r="J52" s="2">
        <v>6351502235</v>
      </c>
      <c r="K52" t="str">
        <f ca="1">VLOOKUP(B52,[1]Sheet14!$C:$I,7,0)</f>
        <v>Allcargo Supply Chain Pvt. Ltd.</v>
      </c>
      <c r="M52" t="str">
        <f ca="1">VLOOKUP(B52,[1]Sheet14!$C:$J,8,0)</f>
        <v>umeshkumar.singh@allcargosupplychain.com</v>
      </c>
    </row>
    <row r="53" spans="1:13">
      <c r="A53">
        <v>52</v>
      </c>
      <c r="B53" s="2" t="s">
        <v>65</v>
      </c>
      <c r="C53" s="2" t="s">
        <v>190</v>
      </c>
      <c r="D53" t="str">
        <f ca="1">VLOOKUP(B53,[1]Sheet14!$C:$H,6,0)</f>
        <v>FMSC</v>
      </c>
      <c r="E53" s="2" t="s">
        <v>194</v>
      </c>
      <c r="F53" s="2" t="s">
        <v>232</v>
      </c>
      <c r="G53" s="2" t="s">
        <v>293</v>
      </c>
      <c r="H53" s="2">
        <v>9512281207</v>
      </c>
      <c r="I53" s="2" t="s">
        <v>291</v>
      </c>
      <c r="J53" s="2">
        <v>8426846828</v>
      </c>
      <c r="K53" t="str">
        <f ca="1">VLOOKUP(B53,[1]Sheet14!$C:$I,7,0)</f>
        <v>DP World Express Logistics Private Limited</v>
      </c>
      <c r="M53" t="str">
        <f ca="1">VLOOKUP(B53,[1]Sheet14!$C:$J,8,0)</f>
        <v>dipak.kulathe@dpworld.com</v>
      </c>
    </row>
    <row r="54" spans="1:13">
      <c r="A54">
        <v>53</v>
      </c>
      <c r="B54" s="2" t="s">
        <v>66</v>
      </c>
      <c r="C54" s="2" t="s">
        <v>190</v>
      </c>
      <c r="D54" t="str">
        <f ca="1">VLOOKUP(B54,[1]Sheet14!$C:$H,6,0)</f>
        <v>FMSC</v>
      </c>
      <c r="E54" s="2" t="s">
        <v>194</v>
      </c>
      <c r="F54" s="2" t="s">
        <v>234</v>
      </c>
      <c r="G54" s="2" t="s">
        <v>294</v>
      </c>
      <c r="H54" s="2">
        <v>8855915553</v>
      </c>
      <c r="I54" s="2" t="s">
        <v>458</v>
      </c>
      <c r="J54" s="2">
        <v>9725104037</v>
      </c>
      <c r="K54" t="str">
        <f ca="1">VLOOKUP(B54,[1]Sheet14!$C:$I,7,0)</f>
        <v>CJDarcl India Pvt Ltd</v>
      </c>
      <c r="M54" t="str">
        <f ca="1">VLOOKUP(B54,[1]Sheet14!$C:$J,8,0)</f>
        <v>meesho_surat_wh@cjdarcl.com</v>
      </c>
    </row>
    <row r="55" spans="1:13">
      <c r="A55">
        <v>54</v>
      </c>
      <c r="B55" s="4" t="s">
        <v>67</v>
      </c>
      <c r="C55" s="4" t="s">
        <v>190</v>
      </c>
      <c r="D55" t="str">
        <f ca="1">VLOOKUP(B55,[1]Sheet14!$C:$H,6,0)</f>
        <v>FMSC</v>
      </c>
      <c r="E55" s="4" t="s">
        <v>194</v>
      </c>
      <c r="F55" s="4" t="s">
        <v>233</v>
      </c>
      <c r="G55" s="4" t="s">
        <v>295</v>
      </c>
      <c r="H55" s="4" t="s">
        <v>408</v>
      </c>
      <c r="I55" s="4" t="s">
        <v>459</v>
      </c>
      <c r="J55" s="4">
        <v>9812502061</v>
      </c>
      <c r="K55" t="str">
        <f ca="1">VLOOKUP(B55,[1]Sheet14!$C:$I,7,0)</f>
        <v>XpressBees</v>
      </c>
      <c r="M55" t="str">
        <f ca="1">VLOOKUP(B55,[1]Sheet14!$C:$J,8,0)</f>
        <v>azruddin.ansari@xpressbees.com</v>
      </c>
    </row>
    <row r="56" spans="1:13">
      <c r="A56">
        <v>55</v>
      </c>
      <c r="B56" s="2" t="s">
        <v>68</v>
      </c>
      <c r="C56" s="2" t="s">
        <v>190</v>
      </c>
      <c r="D56" t="str">
        <f ca="1">VLOOKUP(B56,[1]Sheet14!$C:$H,6,0)</f>
        <v>FMSC</v>
      </c>
      <c r="E56" s="2" t="s">
        <v>194</v>
      </c>
      <c r="F56" s="2" t="s">
        <v>235</v>
      </c>
      <c r="G56" s="2" t="s">
        <v>296</v>
      </c>
      <c r="H56" s="2">
        <v>7990365788</v>
      </c>
      <c r="I56" s="2" t="s">
        <v>460</v>
      </c>
      <c r="J56" s="2">
        <v>9909973188</v>
      </c>
      <c r="K56" t="str">
        <f ca="1">VLOOKUP(B56,[1]Sheet14!$C:$I,7,0)</f>
        <v>Apollo Supply Chain Pvt Ltd</v>
      </c>
      <c r="M56" t="str">
        <f ca="1">VLOOKUP(B56,[1]Sheet14!$C:$J,8,0)</f>
        <v>ajoy.kundu@apollosupplychain.com</v>
      </c>
    </row>
    <row r="57" spans="1:13">
      <c r="A57">
        <v>56</v>
      </c>
      <c r="B57" s="2" t="s">
        <v>69</v>
      </c>
      <c r="C57" s="2" t="s">
        <v>191</v>
      </c>
      <c r="D57" t="str">
        <f ca="1">VLOOKUP(B57,[1]Sheet14!$C:$H,6,0)</f>
        <v>LMSC</v>
      </c>
      <c r="E57" s="2" t="s">
        <v>195</v>
      </c>
      <c r="F57" s="2" t="s">
        <v>236</v>
      </c>
      <c r="G57" s="2" t="s">
        <v>297</v>
      </c>
      <c r="H57" s="2" t="s">
        <v>409</v>
      </c>
      <c r="I57" s="2" t="s">
        <v>461</v>
      </c>
      <c r="J57" s="2">
        <v>8686720525</v>
      </c>
      <c r="K57" t="str">
        <f ca="1">VLOOKUP(B57,[1]Sheet14!$C:$I,7,0)</f>
        <v>Proconnect Supply Chain Solutions Limited</v>
      </c>
      <c r="M57" t="str">
        <f ca="1">VLOOKUP(B57,[1]Sheet14!$C:$J,8,0)</f>
        <v>manohar.tk@proconnectlogistics.com</v>
      </c>
    </row>
    <row r="58" spans="1:13">
      <c r="A58">
        <v>57</v>
      </c>
      <c r="B58" s="2" t="s">
        <v>70</v>
      </c>
      <c r="C58" s="2" t="s">
        <v>191</v>
      </c>
      <c r="D58" t="str">
        <f ca="1">VLOOKUP(B58,[1]Sheet14!$C:$H,6,0)</f>
        <v>LMSC</v>
      </c>
      <c r="E58" s="2" t="s">
        <v>195</v>
      </c>
      <c r="F58" s="2" t="s">
        <v>236</v>
      </c>
      <c r="G58" s="2" t="s">
        <v>298</v>
      </c>
      <c r="H58" s="2">
        <v>8660613753</v>
      </c>
      <c r="I58" s="2" t="s">
        <v>462</v>
      </c>
      <c r="J58" s="2">
        <v>8099774097</v>
      </c>
      <c r="K58" t="str">
        <f ca="1">VLOOKUP(B58,[1]Sheet14!$C:$I,7,0)</f>
        <v>Loadshare Network Pvt Ltd</v>
      </c>
      <c r="M58" t="str">
        <f ca="1">VLOOKUP(B58,[1]Sheet14!$C:$J,8,0)</f>
        <v>bharath@loadshare.net</v>
      </c>
    </row>
    <row r="59" spans="1:13">
      <c r="A59">
        <v>58</v>
      </c>
      <c r="B59" s="2" t="s">
        <v>71</v>
      </c>
      <c r="C59" s="2" t="s">
        <v>193</v>
      </c>
      <c r="D59" t="str">
        <f ca="1">VLOOKUP(B59,[1]Sheet14!$C:$H,6,0)</f>
        <v>LMSC</v>
      </c>
      <c r="E59" s="2" t="s">
        <v>198</v>
      </c>
      <c r="F59" s="2" t="s">
        <v>225</v>
      </c>
      <c r="G59" s="8" t="s">
        <v>299</v>
      </c>
      <c r="H59" s="2" t="s">
        <v>410</v>
      </c>
      <c r="I59" s="22" t="s">
        <v>463</v>
      </c>
      <c r="J59" s="2">
        <v>9557233383</v>
      </c>
      <c r="K59" t="str">
        <f ca="1">VLOOKUP(B59,[1]Sheet14!$C:$I,7,0)</f>
        <v>Jambulogix Private Limited</v>
      </c>
      <c r="M59" t="str">
        <f ca="1">VLOOKUP(B59,[1]Sheet14!$C:$J,8,0)</f>
        <v>Ops@jambulogix.com</v>
      </c>
    </row>
    <row r="60" spans="1:13">
      <c r="A60">
        <v>59</v>
      </c>
      <c r="B60" s="2" t="s">
        <v>72</v>
      </c>
      <c r="C60" s="2" t="s">
        <v>193</v>
      </c>
      <c r="D60" t="str">
        <f ca="1">VLOOKUP(B60,[1]Sheet14!$C:$H,6,0)</f>
        <v>LMSC</v>
      </c>
      <c r="E60" s="2" t="s">
        <v>198</v>
      </c>
      <c r="F60" s="2" t="s">
        <v>215</v>
      </c>
      <c r="G60" s="2" t="s">
        <v>300</v>
      </c>
      <c r="H60" s="2">
        <v>9410016350</v>
      </c>
      <c r="I60" s="2" t="s">
        <v>464</v>
      </c>
      <c r="J60" s="2">
        <v>7704906394</v>
      </c>
      <c r="K60" t="str">
        <f ca="1">VLOOKUP(B60,[1]Sheet14!$C:$I,7,0)</f>
        <v>Apollo Supply Chain Pvt Ltd</v>
      </c>
      <c r="M60" t="str">
        <f ca="1">VLOOKUP(B60,[1]Sheet14!$C:$J,8,0)</f>
        <v>meesho@apollosupplychain.com</v>
      </c>
    </row>
    <row r="61" spans="1:13">
      <c r="A61">
        <v>60</v>
      </c>
      <c r="B61" s="4" t="s">
        <v>73</v>
      </c>
      <c r="C61" s="4" t="s">
        <v>192</v>
      </c>
      <c r="D61" t="str">
        <f ca="1">VLOOKUP(B61,[1]Sheet14!$C:$H,6,0)</f>
        <v>LMSC</v>
      </c>
      <c r="E61" s="4" t="s">
        <v>197</v>
      </c>
      <c r="F61" s="4" t="s">
        <v>227</v>
      </c>
      <c r="G61" s="4" t="s">
        <v>301</v>
      </c>
      <c r="H61" s="4">
        <v>7352052463</v>
      </c>
      <c r="I61" s="4" t="s">
        <v>465</v>
      </c>
      <c r="J61" s="19">
        <v>8448028290</v>
      </c>
      <c r="K61" t="str">
        <f ca="1">VLOOKUP(B61,[1]Sheet14!$C:$I,7,0)</f>
        <v>DP World Express Logistics Private Limited</v>
      </c>
      <c r="M61" t="str">
        <f ca="1">VLOOKUP(B61,[1]Sheet14!$C:$J,8,0)</f>
        <v xml:space="preserve">VikashKumar.Singh@dpworld.com </v>
      </c>
    </row>
    <row r="62" spans="1:13">
      <c r="A62">
        <v>61</v>
      </c>
      <c r="B62" s="2" t="s">
        <v>74</v>
      </c>
      <c r="C62" s="2" t="s">
        <v>193</v>
      </c>
      <c r="D62" t="str">
        <f ca="1">VLOOKUP(B62,[1]Sheet14!$C:$H,6,0)</f>
        <v>LMSC</v>
      </c>
      <c r="E62" s="2" t="s">
        <v>200</v>
      </c>
      <c r="F62" s="2" t="s">
        <v>222</v>
      </c>
      <c r="G62" s="2" t="s">
        <v>302</v>
      </c>
      <c r="H62" s="2">
        <v>9956219816</v>
      </c>
      <c r="I62" s="2" t="s">
        <v>466</v>
      </c>
      <c r="J62" s="2">
        <v>917880672710</v>
      </c>
      <c r="K62" t="str">
        <f ca="1">VLOOKUP(B62,[1]Sheet14!$C:$I,7,0)</f>
        <v>Warehouse Now</v>
      </c>
      <c r="M62" t="str">
        <f ca="1">VLOOKUP(B62,[1]Sheet14!$C:$J,8,0)</f>
        <v>mehul.lad@warehousenow.in</v>
      </c>
    </row>
    <row r="63" spans="1:13">
      <c r="A63">
        <v>62</v>
      </c>
      <c r="B63" s="2" t="s">
        <v>75</v>
      </c>
      <c r="C63" s="2" t="s">
        <v>190</v>
      </c>
      <c r="D63" t="str">
        <f ca="1">VLOOKUP(B63,[1]Sheet14!$C:$H,6,0)</f>
        <v>LMSC</v>
      </c>
      <c r="E63" s="2" t="s">
        <v>196</v>
      </c>
      <c r="F63" s="2" t="s">
        <v>226</v>
      </c>
      <c r="G63" s="2" t="s">
        <v>303</v>
      </c>
      <c r="H63" s="2" t="s">
        <v>411</v>
      </c>
      <c r="I63" s="2" t="s">
        <v>467</v>
      </c>
      <c r="J63" s="2">
        <v>9926906678</v>
      </c>
      <c r="K63" t="str">
        <f ca="1">VLOOKUP(B63,[1]Sheet14!$C:$I,7,0)</f>
        <v>FIBS Logistics India Private Limited</v>
      </c>
      <c r="M63" t="str">
        <f ca="1">VLOOKUP(B63,[1]Sheet14!$C:$J,8,0)</f>
        <v>raipur.ops@fibs-logistics.com</v>
      </c>
    </row>
    <row r="64" spans="1:13">
      <c r="A64">
        <v>63</v>
      </c>
      <c r="B64" s="2" t="s">
        <v>76</v>
      </c>
      <c r="C64" s="2" t="s">
        <v>192</v>
      </c>
      <c r="D64" t="str">
        <f ca="1">VLOOKUP(B64,[1]Sheet14!$C:$H,6,0)</f>
        <v>LMSC</v>
      </c>
      <c r="E64" s="2" t="s">
        <v>197</v>
      </c>
      <c r="F64" s="2" t="s">
        <v>230</v>
      </c>
      <c r="G64" s="2" t="s">
        <v>304</v>
      </c>
      <c r="H64" s="17">
        <v>8637837758</v>
      </c>
      <c r="I64" s="2" t="s">
        <v>468</v>
      </c>
      <c r="J64" s="2">
        <v>9681185032</v>
      </c>
      <c r="K64" t="str">
        <f ca="1">VLOOKUP(B64,[1]Sheet14!$C:$I,7,0)</f>
        <v>Kapoor Diesels Garage Pvt. Ltd.</v>
      </c>
      <c r="M64" t="str">
        <f ca="1">VLOOKUP(B64,[1]Sheet14!$C:$J,8,0)</f>
        <v>manish.khanduja@kapoordiesels.com</v>
      </c>
    </row>
    <row r="65" spans="1:13">
      <c r="A65">
        <v>64</v>
      </c>
      <c r="B65" s="2" t="s">
        <v>77</v>
      </c>
      <c r="C65" s="2" t="s">
        <v>190</v>
      </c>
      <c r="D65" t="str">
        <f ca="1">VLOOKUP(B65,[1]Sheet14!$C:$H,6,0)</f>
        <v>LMSC</v>
      </c>
      <c r="E65" s="2" t="s">
        <v>196</v>
      </c>
      <c r="F65" s="2" t="s">
        <v>228</v>
      </c>
      <c r="G65" s="2" t="s">
        <v>305</v>
      </c>
      <c r="H65" s="2">
        <v>7588668369</v>
      </c>
      <c r="I65" s="2" t="s">
        <v>469</v>
      </c>
      <c r="J65" s="2">
        <v>9284643233</v>
      </c>
      <c r="K65" t="str">
        <f ca="1">VLOOKUP(B65,[1]Sheet14!$C:$I,7,0)</f>
        <v>Ntex Transportation Services Pvt Ltd.</v>
      </c>
      <c r="M65" t="str">
        <f ca="1">VLOOKUP(B65,[1]Sheet14!$C:$J,8,0)</f>
        <v>ashok.kumar@elastic.run</v>
      </c>
    </row>
    <row r="66" spans="1:13">
      <c r="A66">
        <v>65</v>
      </c>
      <c r="B66" s="4" t="s">
        <v>78</v>
      </c>
      <c r="C66" s="4" t="s">
        <v>190</v>
      </c>
      <c r="D66" t="str">
        <f ca="1">VLOOKUP(B66,[1]Sheet14!$C:$H,6,0)</f>
        <v>LMSC</v>
      </c>
      <c r="E66" s="4" t="s">
        <v>196</v>
      </c>
      <c r="F66" s="4" t="s">
        <v>206</v>
      </c>
      <c r="G66" s="9" t="s">
        <v>306</v>
      </c>
      <c r="H66" s="4">
        <v>8429844413</v>
      </c>
      <c r="I66" s="4" t="s">
        <v>470</v>
      </c>
      <c r="J66" s="4">
        <v>9009149143</v>
      </c>
      <c r="K66" t="str">
        <f ca="1">VLOOKUP(B66,[1]Sheet14!$C:$I,7,0)</f>
        <v>INFINITY SOLUTATION</v>
      </c>
      <c r="M66" t="str">
        <f ca="1">VLOOKUP(B66,[1]Sheet14!$C:$J,8,0)</f>
        <v>head.ops@infinitysolutionsindia.com</v>
      </c>
    </row>
    <row r="67" spans="1:13">
      <c r="A67">
        <v>66</v>
      </c>
      <c r="B67" s="2" t="s">
        <v>79</v>
      </c>
      <c r="C67" s="2" t="s">
        <v>192</v>
      </c>
      <c r="D67" t="str">
        <f ca="1">VLOOKUP(B67,[1]Sheet14!$C:$H,6,0)</f>
        <v>FMSC</v>
      </c>
      <c r="E67" s="2" t="s">
        <v>197</v>
      </c>
      <c r="F67" s="2" t="s">
        <v>230</v>
      </c>
      <c r="G67" s="2" t="s">
        <v>307</v>
      </c>
      <c r="H67" s="2">
        <v>7278927626</v>
      </c>
      <c r="I67" s="6" t="s">
        <v>471</v>
      </c>
      <c r="J67" s="2">
        <v>9635977809</v>
      </c>
      <c r="K67" t="str">
        <f ca="1">VLOOKUP(B67,[1]Sheet14!$C:$I,7,0)</f>
        <v>DeliveryPlus</v>
      </c>
      <c r="M67" t="str">
        <f ca="1">VLOOKUP(B67,[1]Sheet14!$C:$J,8,0)</f>
        <v>hws_wh@deliveryplus.in</v>
      </c>
    </row>
    <row r="68" spans="1:13">
      <c r="A68">
        <v>67</v>
      </c>
      <c r="B68" s="2" t="s">
        <v>80</v>
      </c>
      <c r="C68" s="2" t="s">
        <v>190</v>
      </c>
      <c r="D68" t="str">
        <f ca="1">VLOOKUP(B68,[1]Sheet14!$C:$H,6,0)</f>
        <v>FMSC</v>
      </c>
      <c r="E68" s="2" t="s">
        <v>194</v>
      </c>
      <c r="F68" s="2" t="s">
        <v>235</v>
      </c>
      <c r="G68" s="2" t="s">
        <v>308</v>
      </c>
      <c r="H68" s="2">
        <v>8488823936</v>
      </c>
      <c r="I68" s="2" t="s">
        <v>389</v>
      </c>
      <c r="J68" s="2">
        <v>7900856570</v>
      </c>
      <c r="K68" t="str">
        <f ca="1">VLOOKUP(B68,[1]Sheet14!$C:$I,7,0)</f>
        <v>SHREE VASU LOGISTICS LTD</v>
      </c>
      <c r="M68" t="str">
        <f ca="1">VLOOKUP(B68,[1]Sheet14!$C:$J,8,0)</f>
        <v>Warehouseincharge.sur@shreevasulogistics.in</v>
      </c>
    </row>
    <row r="69" spans="1:13">
      <c r="A69">
        <v>68</v>
      </c>
      <c r="B69" s="2" t="s">
        <v>81</v>
      </c>
      <c r="C69" s="2" t="s">
        <v>190</v>
      </c>
      <c r="D69" t="str">
        <f ca="1">VLOOKUP(B69,[1]Sheet14!$C:$H,6,0)</f>
        <v>FMSC</v>
      </c>
      <c r="E69" s="2" t="s">
        <v>194</v>
      </c>
      <c r="F69" s="2" t="s">
        <v>233</v>
      </c>
      <c r="G69" s="2" t="s">
        <v>309</v>
      </c>
      <c r="H69" s="2">
        <v>9695640704</v>
      </c>
      <c r="I69" s="2" t="s">
        <v>457</v>
      </c>
      <c r="J69" s="2">
        <v>6351502235</v>
      </c>
      <c r="K69" t="str">
        <f ca="1">VLOOKUP(B69,[1]Sheet14!$C:$I,7,0)</f>
        <v>FIBS Logistics India Private Limited</v>
      </c>
      <c r="M69" t="str">
        <f ca="1">VLOOKUP(B69,[1]Sheet14!$C:$J,8,0)</f>
        <v>it.rajkot@fibs-logistics.com</v>
      </c>
    </row>
    <row r="70" spans="1:13">
      <c r="A70">
        <v>69</v>
      </c>
      <c r="B70" s="2" t="s">
        <v>82</v>
      </c>
      <c r="C70" s="2" t="s">
        <v>190</v>
      </c>
      <c r="D70" t="str">
        <f ca="1">VLOOKUP(B70,[1]Sheet14!$C:$H,6,0)</f>
        <v>FMSC</v>
      </c>
      <c r="E70" s="2" t="s">
        <v>196</v>
      </c>
      <c r="F70" s="2" t="s">
        <v>221</v>
      </c>
      <c r="G70" s="2" t="s">
        <v>310</v>
      </c>
      <c r="H70" s="2">
        <v>9610771514</v>
      </c>
      <c r="I70" s="2" t="s">
        <v>403</v>
      </c>
      <c r="J70" s="2">
        <v>9898715522</v>
      </c>
      <c r="K70" t="str">
        <f ca="1">VLOOKUP(B70,[1]Sheet14!$C:$I,7,0)</f>
        <v>Ntex Transportation Services Pvt Ltd.</v>
      </c>
      <c r="M70" t="str">
        <f ca="1">VLOOKUP(B70,[1]Sheet14!$C:$J,8,0)</f>
        <v>Sahil.jayaswal@elastic.run</v>
      </c>
    </row>
    <row r="71" spans="1:13">
      <c r="A71">
        <v>70</v>
      </c>
      <c r="B71" s="2" t="s">
        <v>83</v>
      </c>
      <c r="C71" s="2" t="s">
        <v>190</v>
      </c>
      <c r="D71" t="str">
        <f ca="1">VLOOKUP(B71,[1]Sheet14!$C:$H,6,0)</f>
        <v>FMSC</v>
      </c>
      <c r="E71" s="2" t="s">
        <v>194</v>
      </c>
      <c r="F71" s="2" t="s">
        <v>235</v>
      </c>
      <c r="G71" s="2" t="s">
        <v>311</v>
      </c>
      <c r="H71" s="2">
        <v>9997845742</v>
      </c>
      <c r="I71" s="2"/>
      <c r="J71" s="2"/>
      <c r="K71" t="str">
        <f ca="1">VLOOKUP(B71,[1]Sheet14!$C:$I,7,0)</f>
        <v>Ntex Transportation Services Pvt Ltd.</v>
      </c>
      <c r="M71" t="str">
        <f ca="1">VLOOKUP(B71,[1]Sheet14!$C:$J,8,0)</f>
        <v>yogesh.kumarkar@elastic.run</v>
      </c>
    </row>
    <row r="72" spans="1:13">
      <c r="A72">
        <v>71</v>
      </c>
      <c r="B72" s="2" t="s">
        <v>84</v>
      </c>
      <c r="C72" s="2" t="s">
        <v>193</v>
      </c>
      <c r="D72" t="str">
        <f ca="1">VLOOKUP(B72,[1]Sheet14!$C:$H,6,0)</f>
        <v>FMSC</v>
      </c>
      <c r="E72" s="2" t="s">
        <v>199</v>
      </c>
      <c r="F72" s="2" t="s">
        <v>210</v>
      </c>
      <c r="G72" s="2" t="s">
        <v>312</v>
      </c>
      <c r="H72" s="2">
        <v>8683813743</v>
      </c>
      <c r="I72" s="2" t="s">
        <v>472</v>
      </c>
      <c r="J72" s="2">
        <v>8818005330</v>
      </c>
      <c r="K72" t="str">
        <f ca="1">VLOOKUP(B72,[1]Sheet14!$C:$I,7,0)</f>
        <v>Kapoor Diesels Garage Pvt. Ltd.</v>
      </c>
      <c r="M72" t="str">
        <f ca="1">VLOOKUP(B72,[1]Sheet14!$C:$J,8,0)</f>
        <v>manish.kr@kapoordiesels.com</v>
      </c>
    </row>
    <row r="73" spans="1:13">
      <c r="A73">
        <v>72</v>
      </c>
      <c r="B73" s="2" t="s">
        <v>85</v>
      </c>
      <c r="C73" s="2" t="s">
        <v>192</v>
      </c>
      <c r="D73" t="str">
        <f ca="1">VLOOKUP(B73,[1]Sheet14!$C:$H,6,0)</f>
        <v>LMSC</v>
      </c>
      <c r="E73" s="2" t="s">
        <v>197</v>
      </c>
      <c r="F73" s="2" t="s">
        <v>227</v>
      </c>
      <c r="G73" s="10" t="s">
        <v>313</v>
      </c>
      <c r="H73" s="2">
        <v>8210748344</v>
      </c>
      <c r="I73" s="2" t="s">
        <v>473</v>
      </c>
      <c r="J73" s="2">
        <v>9334040734</v>
      </c>
      <c r="K73" t="str">
        <f ca="1">VLOOKUP(B73,[1]Sheet14!$C:$I,7,0)</f>
        <v>Apollo Supply Chain Pvt Ltd</v>
      </c>
      <c r="M73" t="str">
        <f ca="1">VLOOKUP(B73,[1]Sheet14!$C:$J,8,0)</f>
        <v>nitesh.ranjan@apollosupplychain.com</v>
      </c>
    </row>
    <row r="74" spans="1:13">
      <c r="A74">
        <v>73</v>
      </c>
      <c r="B74" s="2" t="s">
        <v>86</v>
      </c>
      <c r="C74" s="2" t="s">
        <v>193</v>
      </c>
      <c r="D74" t="str">
        <f ca="1">VLOOKUP(B74,[1]Sheet14!$C:$H,6,0)</f>
        <v>LMSC</v>
      </c>
      <c r="E74" s="2" t="s">
        <v>200</v>
      </c>
      <c r="F74" s="2" t="s">
        <v>224</v>
      </c>
      <c r="G74" s="2" t="s">
        <v>280</v>
      </c>
      <c r="H74" s="2">
        <v>8847290992</v>
      </c>
      <c r="I74" s="2" t="s">
        <v>474</v>
      </c>
      <c r="J74" s="2">
        <v>8090384994</v>
      </c>
      <c r="K74" t="str">
        <f ca="1">VLOOKUP(B74,[1]Sheet14!$C:$I,7,0)</f>
        <v>AVS2 LOGISTICS INDIA PVT LTD</v>
      </c>
      <c r="M74" t="str">
        <f ca="1">VLOOKUP(B74,[1]Sheet14!$C:$J,8,0)</f>
        <v>Vineet.tyagi@avs2logisticsindia.com, sakshityagiavslogisticsindiapv@gmail.com</v>
      </c>
    </row>
    <row r="75" spans="1:13">
      <c r="A75">
        <v>74</v>
      </c>
      <c r="B75" s="2" t="s">
        <v>87</v>
      </c>
      <c r="C75" s="2" t="s">
        <v>191</v>
      </c>
      <c r="D75" t="str">
        <f ca="1">VLOOKUP(B75,[1]Sheet14!$C:$H,6,0)</f>
        <v>LMSC</v>
      </c>
      <c r="E75" s="2" t="s">
        <v>195</v>
      </c>
      <c r="F75" s="2" t="s">
        <v>237</v>
      </c>
      <c r="G75" s="2" t="s">
        <v>314</v>
      </c>
      <c r="H75" s="2">
        <v>8668045720</v>
      </c>
      <c r="I75" s="2"/>
      <c r="J75" s="2"/>
      <c r="K75" t="str">
        <f ca="1">VLOOKUP(B75,[1]Sheet14!$C:$I,7,0)</f>
        <v>Intelligent Retail Private Limited [ Ripplr ]</v>
      </c>
      <c r="M75" t="str">
        <f ca="1">VLOOKUP(B75,[1]Sheet14!$C:$J,8,0)</f>
        <v>dilip.r@ripplr.in</v>
      </c>
    </row>
    <row r="76" spans="1:13">
      <c r="A76">
        <v>75</v>
      </c>
      <c r="B76" s="2" t="s">
        <v>88</v>
      </c>
      <c r="C76" s="2" t="s">
        <v>191</v>
      </c>
      <c r="D76" t="str">
        <f ca="1">VLOOKUP(B76,[1]Sheet14!$C:$H,6,0)</f>
        <v>LMSC</v>
      </c>
      <c r="E76" s="2" t="s">
        <v>195</v>
      </c>
      <c r="F76" s="2" t="s">
        <v>237</v>
      </c>
      <c r="G76" s="2" t="s">
        <v>315</v>
      </c>
      <c r="H76" s="2">
        <v>8825794847</v>
      </c>
      <c r="I76" s="2" t="s">
        <v>475</v>
      </c>
      <c r="J76" s="2">
        <v>7025751238</v>
      </c>
      <c r="K76" t="str">
        <f ca="1">VLOOKUP(B76,[1]Sheet14!$C:$I,7,0)</f>
        <v>SHREE VASU LOGISTICS LTD</v>
      </c>
      <c r="M76" t="str">
        <f ca="1">VLOOKUP(B76,[1]Sheet14!$C:$J,8,0)</f>
        <v>meeshocoimbatore@shreevasulogistics.in</v>
      </c>
    </row>
    <row r="77" spans="1:13">
      <c r="A77">
        <v>76</v>
      </c>
      <c r="B77" s="2" t="s">
        <v>89</v>
      </c>
      <c r="C77" s="2" t="s">
        <v>190</v>
      </c>
      <c r="D77" t="str">
        <f ca="1">VLOOKUP(B77,[1]Sheet14!$C:$H,6,0)</f>
        <v>Hybrid</v>
      </c>
      <c r="E77" s="2" t="s">
        <v>194</v>
      </c>
      <c r="F77" s="2" t="s">
        <v>201</v>
      </c>
      <c r="G77" s="2" t="s">
        <v>315</v>
      </c>
      <c r="H77" s="2">
        <v>9687358442</v>
      </c>
      <c r="I77" s="2"/>
      <c r="J77" s="2"/>
      <c r="K77" t="str">
        <f ca="1">VLOOKUP(B77,[1]Sheet14!$C:$I,7,0)</f>
        <v>FREIGHT SYSTEMS INDIA PRIVATE LIMITED</v>
      </c>
      <c r="M77" t="str">
        <f ca="1">VLOOKUP(B77,[1]Sheet14!$C:$J,8,0)</f>
        <v>devkishan.sharma@freightsystems.com</v>
      </c>
    </row>
    <row r="78" spans="1:13">
      <c r="A78">
        <v>77</v>
      </c>
      <c r="B78" s="2" t="s">
        <v>90</v>
      </c>
      <c r="C78" s="2" t="s">
        <v>192</v>
      </c>
      <c r="D78" t="str">
        <f ca="1">VLOOKUP(B78,[1]Sheet14!$C:$H,6,0)</f>
        <v>LMSC</v>
      </c>
      <c r="E78" s="2" t="s">
        <v>197</v>
      </c>
      <c r="F78" s="2" t="s">
        <v>218</v>
      </c>
      <c r="G78" s="6" t="s">
        <v>316</v>
      </c>
      <c r="H78" s="2">
        <v>7449412609</v>
      </c>
      <c r="I78" s="2" t="s">
        <v>476</v>
      </c>
      <c r="J78" s="2">
        <v>8617772165</v>
      </c>
      <c r="K78" t="str">
        <f ca="1">VLOOKUP(B78,[1]Sheet14!$C:$I,7,0)</f>
        <v>Shree Maruti Integrated Logistics Limited</v>
      </c>
      <c r="M78" t="str">
        <f ca="1">VLOOKUP(B78,[1]Sheet14!$C:$J,8,0)</f>
        <v>groups@shreemaruti.com</v>
      </c>
    </row>
    <row r="79" spans="1:13">
      <c r="A79">
        <v>78</v>
      </c>
      <c r="B79" s="2" t="s">
        <v>91</v>
      </c>
      <c r="C79" s="2" t="s">
        <v>193</v>
      </c>
      <c r="D79" t="str">
        <f ca="1">VLOOKUP(B79,[1]Sheet14!$C:$H,6,0)</f>
        <v>LMSC</v>
      </c>
      <c r="E79" s="2" t="s">
        <v>200</v>
      </c>
      <c r="F79" s="2" t="s">
        <v>238</v>
      </c>
      <c r="G79" s="2" t="s">
        <v>317</v>
      </c>
      <c r="H79" s="2">
        <v>9670622600</v>
      </c>
      <c r="I79" s="2" t="s">
        <v>477</v>
      </c>
      <c r="J79" s="2">
        <v>7880832095</v>
      </c>
      <c r="K79" t="str">
        <f ca="1">VLOOKUP(B79,[1]Sheet14!$C:$I,7,0)</f>
        <v>V2V Supply Chain Pvt Ltd</v>
      </c>
      <c r="M79" t="str">
        <f ca="1">VLOOKUP(B79,[1]Sheet14!$C:$J,8,0)</f>
        <v>ashish.singh@v2vsupplychains.com</v>
      </c>
    </row>
    <row r="80" spans="1:13">
      <c r="A80">
        <v>79</v>
      </c>
      <c r="B80" s="4" t="s">
        <v>92</v>
      </c>
      <c r="C80" s="4" t="s">
        <v>191</v>
      </c>
      <c r="D80" t="str">
        <f ca="1">VLOOKUP(B80,[1]Sheet14!$C:$H,6,0)</f>
        <v>LMSC</v>
      </c>
      <c r="E80" s="4" t="s">
        <v>195</v>
      </c>
      <c r="F80" s="4" t="s">
        <v>237</v>
      </c>
      <c r="G80" s="4" t="s">
        <v>318</v>
      </c>
      <c r="H80" s="4">
        <v>9025995888</v>
      </c>
      <c r="I80" s="4"/>
      <c r="J80" s="4"/>
      <c r="K80" t="str">
        <f ca="1">VLOOKUP(B80,[1]Sheet14!$C:$I,7,0)</f>
        <v xml:space="preserve">SCINNTC SUPPLY CHAIN SOLUTIONS PRIVATE LIMITED </v>
      </c>
      <c r="M80" t="str">
        <f ca="1">VLOOKUP(B80,[1]Sheet14!$C:$J,8,0)</f>
        <v>nithish.kumar@scinntc.com</v>
      </c>
    </row>
    <row r="81" spans="1:13">
      <c r="A81">
        <v>80</v>
      </c>
      <c r="B81" s="2" t="s">
        <v>93</v>
      </c>
      <c r="C81" s="2" t="s">
        <v>191</v>
      </c>
      <c r="D81" t="str">
        <f ca="1">VLOOKUP(B81,[1]Sheet14!$C:$H,6,0)</f>
        <v>LMSC</v>
      </c>
      <c r="E81" s="2" t="s">
        <v>195</v>
      </c>
      <c r="F81" s="2" t="s">
        <v>208</v>
      </c>
      <c r="G81" s="2" t="s">
        <v>319</v>
      </c>
      <c r="H81" s="2">
        <v>9071717181</v>
      </c>
      <c r="I81" s="2" t="s">
        <v>478</v>
      </c>
      <c r="J81" s="2" t="s">
        <v>546</v>
      </c>
      <c r="K81" t="str">
        <f ca="1">VLOOKUP(B81,[1]Sheet14!$C:$I,7,0)</f>
        <v>DeliveryPlus</v>
      </c>
      <c r="M81" t="str">
        <f ca="1">VLOOKUP(B81,[1]Sheet14!$C:$J,8,0)</f>
        <v>SC_Update@deliveryplus.in</v>
      </c>
    </row>
    <row r="82" spans="1:13">
      <c r="A82">
        <v>81</v>
      </c>
      <c r="B82" s="2" t="s">
        <v>94</v>
      </c>
      <c r="C82" s="2" t="s">
        <v>191</v>
      </c>
      <c r="D82" t="str">
        <f ca="1">VLOOKUP(B82,[1]Sheet14!$C:$H,6,0)</f>
        <v>LMSC</v>
      </c>
      <c r="E82" s="2" t="s">
        <v>195</v>
      </c>
      <c r="F82" s="2" t="s">
        <v>223</v>
      </c>
      <c r="G82" s="2" t="s">
        <v>320</v>
      </c>
      <c r="H82" s="2">
        <v>8098698690</v>
      </c>
      <c r="I82" s="2" t="s">
        <v>479</v>
      </c>
      <c r="J82" s="2">
        <v>7904028118</v>
      </c>
      <c r="K82" t="str">
        <f ca="1">VLOOKUP(B82,[1]Sheet14!$C:$I,7,0)</f>
        <v>Sitics Logistic Solutions Pvt. Ltd.</v>
      </c>
      <c r="M82" t="str">
        <f ca="1">VLOOKUP(B82,[1]Sheet14!$C:$J,8,0)</f>
        <v>dhinesh.kumar@sitics.co</v>
      </c>
    </row>
    <row r="83" spans="1:13">
      <c r="A83">
        <v>82</v>
      </c>
      <c r="B83" s="2" t="s">
        <v>95</v>
      </c>
      <c r="C83" s="2" t="s">
        <v>190</v>
      </c>
      <c r="D83" t="str">
        <f ca="1">VLOOKUP(B83,[1]Sheet14!$C:$H,6,0)</f>
        <v>FMSC</v>
      </c>
      <c r="E83" s="2" t="s">
        <v>194</v>
      </c>
      <c r="F83" s="2" t="s">
        <v>239</v>
      </c>
      <c r="G83" s="2" t="s">
        <v>321</v>
      </c>
      <c r="H83" s="2" t="s">
        <v>412</v>
      </c>
      <c r="I83" s="2"/>
      <c r="J83" s="2"/>
      <c r="K83" t="str">
        <f ca="1">VLOOKUP(B83,[1]Sheet14!$C:$I,7,0)</f>
        <v>DP World Express Logistics Private Limited</v>
      </c>
      <c r="M83" t="str">
        <f ca="1">VLOOKUP(B83,[1]Sheet14!$C:$J,8,0)</f>
        <v>dipak.kulathe@dpworld.com</v>
      </c>
    </row>
    <row r="84" spans="1:13">
      <c r="A84">
        <v>83</v>
      </c>
      <c r="B84" s="2" t="s">
        <v>96</v>
      </c>
      <c r="C84" s="2" t="s">
        <v>190</v>
      </c>
      <c r="D84" t="str">
        <f ca="1">VLOOKUP(B84,[1]Sheet14!$C:$H,6,0)</f>
        <v>FMSC</v>
      </c>
      <c r="E84" s="2" t="s">
        <v>196</v>
      </c>
      <c r="F84" s="2" t="s">
        <v>221</v>
      </c>
      <c r="G84" s="2" t="s">
        <v>322</v>
      </c>
      <c r="H84" s="2">
        <v>9166141184</v>
      </c>
      <c r="I84" s="2" t="s">
        <v>480</v>
      </c>
      <c r="J84" s="2">
        <v>6376369461</v>
      </c>
      <c r="K84" t="str">
        <f ca="1">VLOOKUP(B84,[1]Sheet14!$C:$I,7,0)</f>
        <v>Intelligent Retail Private Limited [ Ripplr ]</v>
      </c>
      <c r="M84" t="str">
        <f ca="1">VLOOKUP(B84,[1]Sheet14!$C:$J,8,0)</f>
        <v>Dilip.R@ripplr.in</v>
      </c>
    </row>
    <row r="85" spans="1:13">
      <c r="A85">
        <v>84</v>
      </c>
      <c r="B85" s="4" t="s">
        <v>97</v>
      </c>
      <c r="C85" s="4" t="s">
        <v>190</v>
      </c>
      <c r="D85" t="str">
        <f ca="1">VLOOKUP(B85,[1]Sheet14!$C:$H,6,0)</f>
        <v>LMSC</v>
      </c>
      <c r="E85" s="4" t="s">
        <v>196</v>
      </c>
      <c r="F85" s="4" t="s">
        <v>221</v>
      </c>
      <c r="G85" s="4"/>
      <c r="H85" s="4"/>
      <c r="I85" s="4"/>
      <c r="J85" s="9"/>
      <c r="K85" t="str">
        <f ca="1">VLOOKUP(B85,[1]Sheet14!$C:$I,7,0)</f>
        <v>Amaze solutions</v>
      </c>
      <c r="M85" t="str">
        <f ca="1">VLOOKUP(B85,[1]Sheet14!$C:$J,8,0)</f>
        <v>gagan.deep@asnmcare.com</v>
      </c>
    </row>
    <row r="86" spans="1:13">
      <c r="A86">
        <v>85</v>
      </c>
      <c r="B86" s="2" t="s">
        <v>98</v>
      </c>
      <c r="C86" s="2" t="s">
        <v>190</v>
      </c>
      <c r="D86" t="str">
        <f ca="1">VLOOKUP(B86,[1]Sheet14!$C:$H,6,0)</f>
        <v>LMSC</v>
      </c>
      <c r="E86" s="2" t="s">
        <v>196</v>
      </c>
      <c r="F86" s="2" t="s">
        <v>226</v>
      </c>
      <c r="G86" s="2" t="s">
        <v>323</v>
      </c>
      <c r="H86" s="2">
        <v>9301184536</v>
      </c>
      <c r="I86" s="2" t="s">
        <v>481</v>
      </c>
      <c r="J86" s="2">
        <v>9078951868</v>
      </c>
      <c r="K86" t="str">
        <f ca="1">VLOOKUP(B86,[1]Sheet14!$C:$I,7,0)</f>
        <v>SHREE VASU LOGISTICS LTD</v>
      </c>
      <c r="M86" t="str">
        <f ca="1">VLOOKUP(B86,[1]Sheet14!$C:$J,8,0)</f>
        <v>Warehouseincharge.rpr@shreevasulogistics.com</v>
      </c>
    </row>
    <row r="87" spans="1:13">
      <c r="A87">
        <v>86</v>
      </c>
      <c r="B87" s="2" t="s">
        <v>99</v>
      </c>
      <c r="C87" s="2" t="s">
        <v>193</v>
      </c>
      <c r="D87" t="str">
        <f ca="1">VLOOKUP(B87,[1]Sheet14!$C:$H,6,0)</f>
        <v>LMSC</v>
      </c>
      <c r="E87" s="2" t="s">
        <v>198</v>
      </c>
      <c r="F87" s="2" t="s">
        <v>212</v>
      </c>
      <c r="G87" s="2" t="s">
        <v>324</v>
      </c>
      <c r="H87" s="2">
        <v>7078460985</v>
      </c>
      <c r="I87" s="2" t="s">
        <v>482</v>
      </c>
      <c r="J87" s="2">
        <v>9953455434</v>
      </c>
      <c r="K87" t="str">
        <f ca="1">VLOOKUP(B87,[1]Sheet14!$C:$I,7,0)</f>
        <v>Seabird</v>
      </c>
      <c r="M87" t="str">
        <f ca="1">VLOOKUP(B87,[1]Sheet14!$C:$J,8,0)</f>
        <v>rajender.s@seabird.co.in</v>
      </c>
    </row>
    <row r="88" spans="1:13">
      <c r="A88">
        <v>87</v>
      </c>
      <c r="B88" s="2" t="s">
        <v>100</v>
      </c>
      <c r="C88" s="2" t="s">
        <v>190</v>
      </c>
      <c r="D88" t="str">
        <f ca="1">VLOOKUP(B88,[1]Sheet14!$C:$H,6,0)</f>
        <v>LMSC</v>
      </c>
      <c r="E88" s="2" t="s">
        <v>194</v>
      </c>
      <c r="F88" s="2" t="s">
        <v>239</v>
      </c>
      <c r="G88" s="2" t="s">
        <v>325</v>
      </c>
      <c r="H88" s="2" t="s">
        <v>413</v>
      </c>
      <c r="I88" s="2"/>
      <c r="J88" s="25"/>
      <c r="K88" t="str">
        <f ca="1">VLOOKUP(B88,[1]Sheet14!$C:$I,7,0)</f>
        <v>SHREE HARI ENTERPRISE</v>
      </c>
      <c r="M88" t="str">
        <f ca="1">VLOOKUP(B88,[1]Sheet14!$C:$J,8,0)</f>
        <v>shreeharienterprise916@gmail.com</v>
      </c>
    </row>
    <row r="89" spans="1:13">
      <c r="A89">
        <v>88</v>
      </c>
      <c r="B89" s="2" t="s">
        <v>101</v>
      </c>
      <c r="C89" s="2" t="s">
        <v>193</v>
      </c>
      <c r="D89" t="str">
        <f ca="1">VLOOKUP(B89,[1]Sheet14!$C:$H,6,0)</f>
        <v>FMSC</v>
      </c>
      <c r="E89" s="2" t="s">
        <v>199</v>
      </c>
      <c r="F89" s="2" t="s">
        <v>213</v>
      </c>
      <c r="G89" s="2" t="s">
        <v>326</v>
      </c>
      <c r="H89" s="2">
        <v>9813607710</v>
      </c>
      <c r="I89" s="2" t="s">
        <v>483</v>
      </c>
      <c r="J89" s="2">
        <v>9671292423</v>
      </c>
      <c r="K89" t="str">
        <f ca="1">VLOOKUP(B89,[1]Sheet14!$C:$I,7,0)</f>
        <v>Schenker India Private Limited</v>
      </c>
      <c r="M89" t="str">
        <f ca="1">VLOOKUP(B89,[1]Sheet14!$C:$J,8,0)</f>
        <v>anil.a.kumar@dbschenker.com</v>
      </c>
    </row>
    <row r="90" spans="1:13">
      <c r="A90">
        <v>89</v>
      </c>
      <c r="B90" s="2" t="s">
        <v>102</v>
      </c>
      <c r="C90" s="2" t="s">
        <v>190</v>
      </c>
      <c r="D90" t="str">
        <f ca="1">VLOOKUP(B90,[1]Sheet14!$C:$H,6,0)</f>
        <v>FMSC</v>
      </c>
      <c r="E90" s="2" t="s">
        <v>194</v>
      </c>
      <c r="F90" s="2" t="s">
        <v>234</v>
      </c>
      <c r="G90" s="2" t="s">
        <v>327</v>
      </c>
      <c r="H90" s="2">
        <v>7202862501</v>
      </c>
      <c r="I90" s="2"/>
      <c r="J90" s="2"/>
      <c r="K90" t="str">
        <f ca="1">VLOOKUP(B90,[1]Sheet14!$C:$I,7,0)</f>
        <v>Ethics Prosperity Pvt. Ltd.</v>
      </c>
      <c r="M90" t="str">
        <f ca="1">VLOOKUP(B90,[1]Sheet14!$C:$J,8,0)</f>
        <v>mudit.goyal@ethicsgroup.in</v>
      </c>
    </row>
    <row r="91" spans="1:13">
      <c r="A91">
        <v>90</v>
      </c>
      <c r="B91" s="2" t="s">
        <v>103</v>
      </c>
      <c r="C91" s="2" t="s">
        <v>190</v>
      </c>
      <c r="D91" t="str">
        <f ca="1">VLOOKUP(B91,[1]Sheet14!$C:$H,6,0)</f>
        <v>LMSC</v>
      </c>
      <c r="E91" s="2" t="s">
        <v>196</v>
      </c>
      <c r="F91" s="2" t="s">
        <v>240</v>
      </c>
      <c r="G91" s="2" t="s">
        <v>328</v>
      </c>
      <c r="H91" s="2">
        <v>9420477892</v>
      </c>
      <c r="I91" s="2" t="s">
        <v>400</v>
      </c>
      <c r="J91" s="2">
        <v>9021190556</v>
      </c>
      <c r="K91" t="str">
        <f ca="1">VLOOKUP(B91,[1]Sheet14!$C:$I,7,0)</f>
        <v>Probity Logistics</v>
      </c>
      <c r="M91" t="str">
        <f ca="1">VLOOKUP(B91,[1]Sheet14!$C:$J,8,0)</f>
        <v>hiren@probitylogistics.in</v>
      </c>
    </row>
    <row r="92" spans="1:13">
      <c r="A92">
        <v>91</v>
      </c>
      <c r="B92" s="2" t="s">
        <v>104</v>
      </c>
      <c r="C92" s="2" t="s">
        <v>190</v>
      </c>
      <c r="D92" t="str">
        <f ca="1">VLOOKUP(B92,[1]Sheet14!$C:$H,6,0)</f>
        <v>Gateway</v>
      </c>
      <c r="E92" s="2" t="s">
        <v>194</v>
      </c>
      <c r="F92" s="2" t="s">
        <v>235</v>
      </c>
      <c r="G92" s="2" t="s">
        <v>329</v>
      </c>
      <c r="H92" s="2">
        <v>9136364631</v>
      </c>
      <c r="I92" s="2" t="s">
        <v>484</v>
      </c>
      <c r="J92" s="2">
        <v>9021190556</v>
      </c>
      <c r="K92" t="str">
        <f ca="1">VLOOKUP(B92,[1]Sheet14!$C:$I,7,0)</f>
        <v>SHREE VASU LOGISTICS LTD</v>
      </c>
      <c r="M92" t="str">
        <f ca="1">VLOOKUP(B92,[1]Sheet14!$C:$J,8,0)</f>
        <v>cdwarehouseincharge.sur@shreevasulogistics.in</v>
      </c>
    </row>
    <row r="93" spans="1:13">
      <c r="A93">
        <v>92</v>
      </c>
      <c r="B93" s="2" t="s">
        <v>105</v>
      </c>
      <c r="C93" s="2" t="s">
        <v>193</v>
      </c>
      <c r="D93" t="str">
        <f ca="1">VLOOKUP(B93,[1]Sheet14!$C:$H,6,0)</f>
        <v>LMSC</v>
      </c>
      <c r="E93" s="2" t="s">
        <v>199</v>
      </c>
      <c r="F93" s="2" t="s">
        <v>231</v>
      </c>
      <c r="G93" s="2" t="s">
        <v>330</v>
      </c>
      <c r="H93" s="2">
        <v>8924962177</v>
      </c>
      <c r="I93" s="2" t="s">
        <v>485</v>
      </c>
      <c r="J93" s="2">
        <v>9068120449</v>
      </c>
      <c r="K93" t="str">
        <f ca="1">VLOOKUP(B93,[1]Sheet14!$C:$I,7,0)</f>
        <v>Jambulogix Private Limited</v>
      </c>
      <c r="M93" t="str">
        <f ca="1">VLOOKUP(B93,[1]Sheet14!$C:$J,8,0)</f>
        <v>ops@jambulogix.com</v>
      </c>
    </row>
    <row r="94" spans="1:13">
      <c r="A94">
        <v>93</v>
      </c>
      <c r="B94" s="2" t="s">
        <v>106</v>
      </c>
      <c r="C94" s="2" t="s">
        <v>193</v>
      </c>
      <c r="D94" t="str">
        <f ca="1">VLOOKUP(B94,[1]Sheet14!$C:$H,6,0)</f>
        <v>FMSC</v>
      </c>
      <c r="E94" s="2" t="s">
        <v>200</v>
      </c>
      <c r="F94" s="2" t="s">
        <v>241</v>
      </c>
      <c r="G94" s="2" t="s">
        <v>331</v>
      </c>
      <c r="H94" s="2">
        <v>8439394921</v>
      </c>
      <c r="I94" s="2" t="s">
        <v>486</v>
      </c>
      <c r="J94" s="2">
        <v>6200326458</v>
      </c>
      <c r="K94" t="str">
        <f ca="1">VLOOKUP(B94,[1]Sheet14!$C:$I,7,0)</f>
        <v>Parnami Logistics &amp; Packing Centre Pvt. Ltd</v>
      </c>
      <c r="M94" t="str">
        <f ca="1">VLOOKUP(B94,[1]Sheet14!$C:$J,8,0)</f>
        <v> manager.operations@parnamigroup-logistics.com</v>
      </c>
    </row>
    <row r="95" spans="1:13">
      <c r="A95">
        <v>94</v>
      </c>
      <c r="B95" s="2" t="s">
        <v>107</v>
      </c>
      <c r="C95" s="2" t="s">
        <v>191</v>
      </c>
      <c r="D95" t="str">
        <f ca="1">VLOOKUP(B95,[1]Sheet14!$C:$H,6,0)</f>
        <v>LMSC</v>
      </c>
      <c r="E95" s="2" t="s">
        <v>195</v>
      </c>
      <c r="F95" s="2" t="s">
        <v>242</v>
      </c>
      <c r="G95" s="2" t="s">
        <v>332</v>
      </c>
      <c r="H95" s="2">
        <v>9666481545</v>
      </c>
      <c r="I95" s="2" t="s">
        <v>487</v>
      </c>
      <c r="J95" s="2">
        <v>9133204632</v>
      </c>
      <c r="K95" t="str">
        <f ca="1">VLOOKUP(B95,[1]Sheet14!$C:$I,7,0)</f>
        <v>MOGLI LABS ( INDIA ) PVT LTD</v>
      </c>
      <c r="M95" t="str">
        <f ca="1">VLOOKUP(B95,[1]Sheet14!$C:$J,8,0)</f>
        <v>logaprabhu.rajendran@moglix.com</v>
      </c>
    </row>
    <row r="96" spans="1:13">
      <c r="A96">
        <v>95</v>
      </c>
      <c r="B96" s="2" t="s">
        <v>108</v>
      </c>
      <c r="C96" s="2" t="s">
        <v>193</v>
      </c>
      <c r="D96" t="str">
        <f ca="1">VLOOKUP(B96,[1]Sheet14!$C:$H,6,0)</f>
        <v>Gateway</v>
      </c>
      <c r="E96" s="2" t="s">
        <v>199</v>
      </c>
      <c r="F96" s="2" t="s">
        <v>243</v>
      </c>
      <c r="G96" s="2" t="s">
        <v>333</v>
      </c>
      <c r="H96" s="2">
        <v>9588199624</v>
      </c>
      <c r="I96" s="14" t="s">
        <v>488</v>
      </c>
      <c r="J96" s="2">
        <v>9953202277</v>
      </c>
      <c r="K96" t="str">
        <f ca="1">VLOOKUP(B96,[1]Sheet14!$C:$I,7,0)</f>
        <v>Shree Maruti Integrated Logistics Limited</v>
      </c>
      <c r="M96" t="str">
        <f ca="1">VLOOKUP(B96,[1]Sheet14!$C:$J,8,0)</f>
        <v>reportdgs2@shreemaruti.com</v>
      </c>
    </row>
    <row r="97" spans="1:13">
      <c r="A97">
        <v>96</v>
      </c>
      <c r="B97" s="2" t="s">
        <v>109</v>
      </c>
      <c r="C97" s="2" t="s">
        <v>193</v>
      </c>
      <c r="D97" t="str">
        <f ca="1">VLOOKUP(B97,[1]Sheet14!$C:$H,6,0)</f>
        <v>FMSC</v>
      </c>
      <c r="E97" s="2" t="s">
        <v>198</v>
      </c>
      <c r="F97" s="2" t="s">
        <v>212</v>
      </c>
      <c r="G97" s="2" t="s">
        <v>334</v>
      </c>
      <c r="H97" s="2">
        <v>9519180136</v>
      </c>
      <c r="I97" s="14" t="s">
        <v>489</v>
      </c>
      <c r="J97" s="2">
        <v>9534779078</v>
      </c>
      <c r="K97" t="str">
        <f ca="1">VLOOKUP(B97,[1]Sheet14!$C:$I,7,0)</f>
        <v>Ntex Transportation Services Pvt Ltd.</v>
      </c>
      <c r="M97" t="str">
        <f ca="1">VLOOKUP(B97,[1]Sheet14!$C:$J,8,0)</f>
        <v>pankaj.mishra@elastic.run</v>
      </c>
    </row>
    <row r="98" spans="1:13">
      <c r="A98">
        <v>97</v>
      </c>
      <c r="B98" s="4" t="s">
        <v>110</v>
      </c>
      <c r="C98" s="4" t="s">
        <v>191</v>
      </c>
      <c r="D98" t="str">
        <f ca="1">VLOOKUP(B98,[1]Sheet14!$C:$H,6,0)</f>
        <v>LMSC</v>
      </c>
      <c r="E98" s="4" t="s">
        <v>195</v>
      </c>
      <c r="F98" s="4" t="s">
        <v>202</v>
      </c>
      <c r="G98" s="4" t="s">
        <v>335</v>
      </c>
      <c r="H98" s="4">
        <v>7889485410</v>
      </c>
      <c r="I98" s="4" t="s">
        <v>418</v>
      </c>
      <c r="J98" s="4">
        <v>9164532362</v>
      </c>
      <c r="K98" t="str">
        <f ca="1">VLOOKUP(B98,[1]Sheet14!$C:$I,7,0)</f>
        <v>Access Warehousing Private Limited</v>
      </c>
      <c r="M98" t="str">
        <f ca="1">VLOOKUP(B98,[1]Sheet14!$C:$J,8,0)</f>
        <v>govindraj.sv@accessbizindia.com</v>
      </c>
    </row>
    <row r="99" spans="1:13">
      <c r="A99">
        <v>98</v>
      </c>
      <c r="B99" s="2" t="s">
        <v>111</v>
      </c>
      <c r="C99" s="2" t="s">
        <v>191</v>
      </c>
      <c r="D99" t="str">
        <f ca="1">VLOOKUP(B99,[1]Sheet14!$C:$H,6,0)</f>
        <v>LMSC</v>
      </c>
      <c r="E99" s="2" t="s">
        <v>195</v>
      </c>
      <c r="F99" s="2" t="s">
        <v>203</v>
      </c>
      <c r="G99" s="6" t="s">
        <v>336</v>
      </c>
      <c r="H99" s="6">
        <v>9900549403</v>
      </c>
      <c r="I99" s="2" t="s">
        <v>490</v>
      </c>
      <c r="J99" s="2">
        <v>8105466398</v>
      </c>
      <c r="K99" t="str">
        <f ca="1">VLOOKUP(B99,[1]Sheet14!$C:$I,7,0)</f>
        <v>FIBS Logistics India Private Limited</v>
      </c>
      <c r="M99" t="str">
        <f ca="1">VLOOKUP(B99,[1]Sheet14!$C:$J,8,0)</f>
        <v>Saurabh.kumar@fibs-logistics.com</v>
      </c>
    </row>
    <row r="100" spans="1:13">
      <c r="A100">
        <v>99</v>
      </c>
      <c r="B100" s="2" t="s">
        <v>112</v>
      </c>
      <c r="C100" s="2" t="s">
        <v>190</v>
      </c>
      <c r="D100" t="str">
        <f ca="1">VLOOKUP(B100,[1]Sheet14!$C:$H,6,0)</f>
        <v>FMSC</v>
      </c>
      <c r="E100" s="2" t="s">
        <v>194</v>
      </c>
      <c r="F100" s="2" t="s">
        <v>232</v>
      </c>
      <c r="G100" s="2" t="s">
        <v>337</v>
      </c>
      <c r="H100" s="2">
        <v>7984429471</v>
      </c>
      <c r="I100" s="2" t="s">
        <v>377</v>
      </c>
      <c r="J100" s="2">
        <v>8349966315</v>
      </c>
      <c r="K100" t="str">
        <f ca="1">VLOOKUP(B100,[1]Sheet14!$C:$I,7,0)</f>
        <v>Shree Maruti Integrated Logistics Limited</v>
      </c>
      <c r="M100" t="str">
        <f ca="1">VLOOKUP(B100,[1]Sheet14!$C:$J,8,0)</f>
        <v>ezaz.shaikh@shreemaruti.com</v>
      </c>
    </row>
    <row r="101" spans="1:13">
      <c r="A101">
        <v>100</v>
      </c>
      <c r="B101" s="4" t="s">
        <v>113</v>
      </c>
      <c r="C101" s="4" t="s">
        <v>190</v>
      </c>
      <c r="D101" t="str">
        <f ca="1">VLOOKUP(B101,[1]Sheet14!$C:$H,6,0)</f>
        <v>LMSC</v>
      </c>
      <c r="E101" s="4" t="s">
        <v>196</v>
      </c>
      <c r="F101" s="4" t="s">
        <v>206</v>
      </c>
      <c r="G101" s="4" t="s">
        <v>338</v>
      </c>
      <c r="H101" s="4">
        <v>9074396112</v>
      </c>
      <c r="I101" s="4" t="s">
        <v>491</v>
      </c>
      <c r="J101" s="4">
        <v>6261477094</v>
      </c>
      <c r="K101" t="str">
        <f ca="1">VLOOKUP(B101,[1]Sheet14!$C:$I,7,0)</f>
        <v>DeliveryPlus</v>
      </c>
      <c r="M101" t="str">
        <f ca="1">VLOOKUP(B101,[1]Sheet14!$C:$J,8,0)</f>
        <v>ranjeetsingh@deliveryplus.co.in</v>
      </c>
    </row>
    <row r="102" spans="1:13">
      <c r="A102">
        <v>101</v>
      </c>
      <c r="B102" s="2" t="s">
        <v>114</v>
      </c>
      <c r="C102" s="2" t="s">
        <v>191</v>
      </c>
      <c r="D102" t="str">
        <f ca="1">VLOOKUP(B102,[1]Sheet14!$C:$H,6,0)</f>
        <v>Gateway</v>
      </c>
      <c r="E102" s="2" t="s">
        <v>195</v>
      </c>
      <c r="F102" s="2" t="s">
        <v>242</v>
      </c>
      <c r="G102" s="2" t="s">
        <v>339</v>
      </c>
      <c r="H102" s="18">
        <v>9985928248</v>
      </c>
      <c r="I102" s="2" t="s">
        <v>492</v>
      </c>
      <c r="J102" s="2">
        <v>9063456784</v>
      </c>
      <c r="K102" t="str">
        <f ca="1">VLOOKUP(B102,[1]Sheet14!$C:$I,7,0)</f>
        <v>YCH Logistics (I) Pvt Ltd</v>
      </c>
      <c r="M102" t="str">
        <f ca="1">VLOOKUP(B102,[1]Sheet14!$C:$J,8,0)</f>
        <v>Aneeshbabu.b@ych.com</v>
      </c>
    </row>
    <row r="103" spans="1:13">
      <c r="A103">
        <v>102</v>
      </c>
      <c r="B103" s="2" t="s">
        <v>115</v>
      </c>
      <c r="C103" s="2" t="s">
        <v>190</v>
      </c>
      <c r="D103" t="str">
        <f ca="1">VLOOKUP(B103,[1]Sheet14!$C:$H,6,0)</f>
        <v>LMSC</v>
      </c>
      <c r="E103" s="2" t="s">
        <v>196</v>
      </c>
      <c r="F103" s="2" t="s">
        <v>228</v>
      </c>
      <c r="G103" s="2" t="s">
        <v>340</v>
      </c>
      <c r="H103" s="2">
        <v>9370641864</v>
      </c>
      <c r="I103" s="2" t="s">
        <v>493</v>
      </c>
      <c r="J103" s="2">
        <v>8605234465</v>
      </c>
      <c r="K103" t="str">
        <f ca="1">VLOOKUP(B103,[1]Sheet14!$C:$I,7,0)</f>
        <v>Baba express e com PVT LTD</v>
      </c>
      <c r="M103" t="str">
        <f ca="1">VLOOKUP(B103,[1]Sheet14!$C:$J,8,0)</f>
        <v>sarvesh@babaexpress.in</v>
      </c>
    </row>
    <row r="104" spans="1:13">
      <c r="A104">
        <v>103</v>
      </c>
      <c r="B104" s="2" t="s">
        <v>116</v>
      </c>
      <c r="C104" s="2" t="s">
        <v>193</v>
      </c>
      <c r="D104" t="str">
        <f ca="1">VLOOKUP(B104,[1]Sheet14!$C:$H,6,0)</f>
        <v>FMSC</v>
      </c>
      <c r="E104" s="2" t="s">
        <v>198</v>
      </c>
      <c r="F104" s="2" t="s">
        <v>209</v>
      </c>
      <c r="G104" s="2" t="s">
        <v>341</v>
      </c>
      <c r="H104" s="2">
        <v>9690836794</v>
      </c>
      <c r="I104" s="2" t="s">
        <v>494</v>
      </c>
      <c r="J104" s="2">
        <v>8081303457</v>
      </c>
      <c r="K104" t="str">
        <f ca="1">VLOOKUP(B104,[1]Sheet14!$C:$I,7,0)</f>
        <v>Anamika Trade Links Pvt. Ltd.</v>
      </c>
      <c r="M104" t="str">
        <f ca="1">VLOOKUP(B104,[1]Sheet14!$C:$J,8,0)</f>
        <v>mail@anamikagroup.com</v>
      </c>
    </row>
    <row r="105" spans="1:13">
      <c r="A105">
        <v>104</v>
      </c>
      <c r="B105" s="2" t="s">
        <v>117</v>
      </c>
      <c r="C105" s="2" t="s">
        <v>193</v>
      </c>
      <c r="D105" t="str">
        <f ca="1">VLOOKUP(B105,[1]Sheet14!$C:$H,6,0)</f>
        <v>FMSC</v>
      </c>
      <c r="E105" s="2" t="s">
        <v>199</v>
      </c>
      <c r="F105" s="2" t="s">
        <v>210</v>
      </c>
      <c r="G105" s="2" t="s">
        <v>342</v>
      </c>
      <c r="H105" s="2">
        <v>7452063578</v>
      </c>
      <c r="I105" s="2" t="s">
        <v>495</v>
      </c>
      <c r="J105" s="2">
        <v>6387178996</v>
      </c>
      <c r="K105" t="str">
        <f ca="1">VLOOKUP(B105,[1]Sheet14!$C:$I,7,0)</f>
        <v>DeliveryPlus</v>
      </c>
      <c r="M105" t="str">
        <f ca="1">VLOOKUP(B105,[1]Sheet14!$C:$J,8,0)</f>
        <v>ranjeetsingh@deliveryplus.co.in</v>
      </c>
    </row>
    <row r="106" spans="1:13">
      <c r="A106">
        <v>105</v>
      </c>
      <c r="B106" s="4" t="s">
        <v>118</v>
      </c>
      <c r="C106" s="4" t="s">
        <v>193</v>
      </c>
      <c r="D106" t="str">
        <f ca="1">VLOOKUP(B106,[1]Sheet14!$C:$H,6,0)</f>
        <v>FMSC</v>
      </c>
      <c r="E106" s="4" t="s">
        <v>200</v>
      </c>
      <c r="F106" s="4" t="s">
        <v>244</v>
      </c>
      <c r="G106" s="4" t="s">
        <v>343</v>
      </c>
      <c r="H106" s="4">
        <v>7899868644</v>
      </c>
      <c r="I106" s="4" t="s">
        <v>496</v>
      </c>
      <c r="J106" s="4">
        <v>8896214274</v>
      </c>
      <c r="K106" t="str">
        <f ca="1">VLOOKUP(B106,[1]Sheet14!$C:$I,7,0)</f>
        <v>Kapoor Diesels Garage Pvt. Ltd.</v>
      </c>
      <c r="M106" t="str">
        <f ca="1">VLOOKUP(B106,[1]Sheet14!$C:$J,8,0)</f>
        <v>akhil.pal@kapoordiesels.com</v>
      </c>
    </row>
    <row r="107" spans="1:13">
      <c r="A107">
        <v>106</v>
      </c>
      <c r="B107" s="2" t="s">
        <v>119</v>
      </c>
      <c r="C107" s="2" t="s">
        <v>190</v>
      </c>
      <c r="D107" t="str">
        <f ca="1">VLOOKUP(B107,[1]Sheet14!$C:$H,6,0)</f>
        <v>FMSC</v>
      </c>
      <c r="E107" s="2" t="s">
        <v>194</v>
      </c>
      <c r="F107" s="2" t="s">
        <v>232</v>
      </c>
      <c r="G107" s="2" t="s">
        <v>344</v>
      </c>
      <c r="H107" s="2">
        <v>9168377043</v>
      </c>
      <c r="I107" s="2" t="s">
        <v>384</v>
      </c>
      <c r="J107" s="2">
        <v>9898244977</v>
      </c>
      <c r="K107" t="str">
        <f ca="1">VLOOKUP(B107,[1]Sheet14!$C:$I,7,0)</f>
        <v>Intelligent Retail Private Limited [ Ripplr ]</v>
      </c>
      <c r="M107" t="str">
        <f ca="1">VLOOKUP(B107,[1]Sheet14!$C:$J,8,0)</f>
        <v>Javed.S@ripplr.in</v>
      </c>
    </row>
    <row r="108" spans="1:13">
      <c r="A108">
        <v>107</v>
      </c>
      <c r="B108" s="2" t="s">
        <v>120</v>
      </c>
      <c r="C108" s="2" t="s">
        <v>192</v>
      </c>
      <c r="D108" t="str">
        <f ca="1">VLOOKUP(B108,[1]Sheet14!$C:$H,6,0)</f>
        <v>LMSC</v>
      </c>
      <c r="E108" s="2" t="s">
        <v>197</v>
      </c>
      <c r="F108" s="2" t="s">
        <v>245</v>
      </c>
      <c r="G108" s="2" t="s">
        <v>345</v>
      </c>
      <c r="H108" s="2">
        <v>8949954119</v>
      </c>
      <c r="I108" s="2" t="s">
        <v>497</v>
      </c>
      <c r="J108" s="2">
        <v>7209522397</v>
      </c>
      <c r="K108" t="str">
        <f ca="1">VLOOKUP(B108,[1]Sheet14!$C:$I,7,0)</f>
        <v>V2V Supply Chain Pvt Ltd</v>
      </c>
      <c r="M108" t="str">
        <f ca="1">VLOOKUP(B108,[1]Sheet14!$C:$J,8,0)</f>
        <v>S.leekha@v2vsupplychains.com</v>
      </c>
    </row>
    <row r="109" spans="1:13">
      <c r="A109">
        <v>108</v>
      </c>
      <c r="B109" s="4" t="s">
        <v>121</v>
      </c>
      <c r="C109" s="4" t="s">
        <v>193</v>
      </c>
      <c r="D109" t="str">
        <f ca="1">VLOOKUP(B109,[1]Sheet14!$C:$H,6,0)</f>
        <v>LMSC</v>
      </c>
      <c r="E109" s="4" t="s">
        <v>200</v>
      </c>
      <c r="F109" s="5" t="s">
        <v>246</v>
      </c>
      <c r="G109" s="4" t="s">
        <v>346</v>
      </c>
      <c r="H109" s="4">
        <v>8901471039</v>
      </c>
      <c r="I109" s="4"/>
      <c r="J109" s="4"/>
      <c r="K109" t="str">
        <f ca="1">VLOOKUP(B109,[1]Sheet14!$C:$I,7,0)</f>
        <v>Anamika Trade Links Pvt. Ltd.</v>
      </c>
      <c r="M109" t="str">
        <f ca="1">VLOOKUP(B109,[1]Sheet14!$C:$J,8,0)</f>
        <v>mail@anamikagroup.com</v>
      </c>
    </row>
    <row r="110" spans="1:13">
      <c r="A110">
        <v>109</v>
      </c>
      <c r="B110" s="2" t="s">
        <v>122</v>
      </c>
      <c r="C110" s="2" t="s">
        <v>190</v>
      </c>
      <c r="D110" t="str">
        <f ca="1">VLOOKUP(B110,[1]Sheet14!$C:$H,6,0)</f>
        <v>Gateway</v>
      </c>
      <c r="E110" s="2" t="s">
        <v>196</v>
      </c>
      <c r="F110" s="2" t="s">
        <v>221</v>
      </c>
      <c r="G110" s="2" t="s">
        <v>347</v>
      </c>
      <c r="H110" s="2">
        <v>9782937212</v>
      </c>
      <c r="I110" s="2"/>
      <c r="J110" s="2"/>
      <c r="K110" t="str">
        <f ca="1">VLOOKUP(B110,[1]Sheet14!$C:$I,7,0)</f>
        <v>Ntex Transportation Services Pvt Ltd.</v>
      </c>
      <c r="M110" t="str">
        <f ca="1">VLOOKUP(B110,[1]Sheet14!$C:$J,8,0)</f>
        <v>Sahil.jayaswal@elastic.run</v>
      </c>
    </row>
    <row r="111" spans="1:13">
      <c r="A111">
        <v>110</v>
      </c>
      <c r="B111" s="2" t="s">
        <v>123</v>
      </c>
      <c r="C111" s="2" t="s">
        <v>192</v>
      </c>
      <c r="D111" t="str">
        <f ca="1">VLOOKUP(B111,[1]Sheet14!$C:$H,6,0)</f>
        <v>LMSC</v>
      </c>
      <c r="E111" s="2" t="s">
        <v>197</v>
      </c>
      <c r="F111" s="2" t="s">
        <v>227</v>
      </c>
      <c r="G111" s="2" t="s">
        <v>348</v>
      </c>
      <c r="H111" s="2">
        <v>8709632635</v>
      </c>
      <c r="I111" s="2" t="s">
        <v>498</v>
      </c>
      <c r="J111" s="17">
        <v>8210578186</v>
      </c>
      <c r="K111" t="str">
        <f ca="1">VLOOKUP(B111,[1]Sheet14!$C:$I,7,0)</f>
        <v>TCI Supplychain Solution Ltd.</v>
      </c>
      <c r="M111" t="str">
        <f ca="1">VLOOKUP(B111,[1]Sheet14!$C:$J,8,0)</f>
        <v>c.jose@tciscs.com</v>
      </c>
    </row>
    <row r="112" spans="1:13">
      <c r="A112">
        <v>111</v>
      </c>
      <c r="B112" s="2" t="s">
        <v>124</v>
      </c>
      <c r="C112" s="2" t="s">
        <v>190</v>
      </c>
      <c r="D112" t="str">
        <f ca="1">VLOOKUP(B112,[1]Sheet14!$C:$H,6,0)</f>
        <v>Hybrid</v>
      </c>
      <c r="E112" s="2" t="s">
        <v>196</v>
      </c>
      <c r="F112" s="2" t="s">
        <v>247</v>
      </c>
      <c r="G112" s="2" t="s">
        <v>349</v>
      </c>
      <c r="H112" s="2">
        <v>8982981396</v>
      </c>
      <c r="I112" s="2" t="s">
        <v>470</v>
      </c>
      <c r="J112" s="2">
        <v>9009149143</v>
      </c>
      <c r="K112" t="str">
        <f ca="1">VLOOKUP(B112,[1]Sheet14!$C:$I,7,0)</f>
        <v>Kapoor Diesels Garage Pvt. Ltd.</v>
      </c>
      <c r="M112" t="str">
        <f ca="1">VLOOKUP(B112,[1]Sheet14!$C:$J,8,0)</f>
        <v>akhil.pal@kapoordiesels.com</v>
      </c>
    </row>
    <row r="113" spans="1:13">
      <c r="A113">
        <v>112</v>
      </c>
      <c r="B113" s="4" t="s">
        <v>125</v>
      </c>
      <c r="C113" s="4" t="s">
        <v>191</v>
      </c>
      <c r="D113" t="str">
        <f ca="1">VLOOKUP(B113,[1]Sheet14!$C:$H,6,0)</f>
        <v>LMSC</v>
      </c>
      <c r="E113" s="4" t="s">
        <v>195</v>
      </c>
      <c r="F113" s="4" t="s">
        <v>236</v>
      </c>
      <c r="G113" s="4" t="s">
        <v>350</v>
      </c>
      <c r="H113" s="4">
        <v>8309775952</v>
      </c>
      <c r="I113" s="4" t="s">
        <v>499</v>
      </c>
      <c r="J113" s="4">
        <v>7207708434</v>
      </c>
      <c r="K113" t="str">
        <f ca="1">VLOOKUP(B113,[1]Sheet14!$C:$I,7,0)</f>
        <v>YCH Logistics (I) Pvt Ltd</v>
      </c>
      <c r="M113" t="str">
        <f ca="1">VLOOKUP(B113,[1]Sheet14!$C:$J,8,0)</f>
        <v>aneeshbabu.b@ych.com</v>
      </c>
    </row>
    <row r="114" spans="1:13">
      <c r="A114">
        <v>113</v>
      </c>
      <c r="B114" s="2" t="s">
        <v>126</v>
      </c>
      <c r="C114" s="2" t="s">
        <v>192</v>
      </c>
      <c r="D114" t="str">
        <f ca="1">VLOOKUP(B114,[1]Sheet14!$C:$H,6,0)</f>
        <v>LMSC</v>
      </c>
      <c r="E114" s="2" t="s">
        <v>197</v>
      </c>
      <c r="F114" s="2" t="s">
        <v>245</v>
      </c>
      <c r="G114" s="2" t="s">
        <v>351</v>
      </c>
      <c r="H114" s="2">
        <v>8178057683</v>
      </c>
      <c r="I114" s="2" t="s">
        <v>500</v>
      </c>
      <c r="J114" s="2">
        <v>9122150297</v>
      </c>
      <c r="K114" t="str">
        <f ca="1">VLOOKUP(B114,[1]Sheet14!$C:$I,7,0)</f>
        <v>TRIUMPH SUPPLY CHAIN PRIVATE LIMITED</v>
      </c>
      <c r="M114" t="str">
        <f ca="1">VLOOKUP(B114,[1]Sheet14!$C:$J,8,0)</f>
        <v>dijendra@triumphsupplychain.io</v>
      </c>
    </row>
    <row r="115" spans="1:13">
      <c r="A115">
        <v>114</v>
      </c>
      <c r="B115" s="2" t="s">
        <v>127</v>
      </c>
      <c r="C115" s="2" t="s">
        <v>193</v>
      </c>
      <c r="D115" t="str">
        <f ca="1">VLOOKUP(B115,[1]Sheet14!$C:$H,6,0)</f>
        <v>LMSC</v>
      </c>
      <c r="E115" s="2" t="s">
        <v>198</v>
      </c>
      <c r="F115" s="2" t="s">
        <v>209</v>
      </c>
      <c r="G115" s="2" t="s">
        <v>352</v>
      </c>
      <c r="H115" s="2">
        <v>8860284670</v>
      </c>
      <c r="I115" s="2"/>
      <c r="J115" s="2"/>
      <c r="K115" t="str">
        <f ca="1">VLOOKUP(B115,[1]Sheet14!$C:$I,7,0)</f>
        <v>AVS2 LOGISTICS INDIA PVT LTD</v>
      </c>
      <c r="M115" t="str">
        <f ca="1">VLOOKUP(B115,[1]Sheet14!$C:$J,8,0)</f>
        <v>Vineet.tyagi@avs2logisticsindia.com</v>
      </c>
    </row>
    <row r="116" spans="1:13">
      <c r="A116">
        <v>115</v>
      </c>
      <c r="B116" s="4" t="s">
        <v>128</v>
      </c>
      <c r="C116" s="4" t="s">
        <v>191</v>
      </c>
      <c r="D116" t="str">
        <f ca="1">VLOOKUP(B116,[1]Sheet14!$C:$H,6,0)</f>
        <v>LMSC</v>
      </c>
      <c r="E116" s="4" t="s">
        <v>195</v>
      </c>
      <c r="F116" s="4" t="s">
        <v>219</v>
      </c>
      <c r="G116" s="4" t="s">
        <v>353</v>
      </c>
      <c r="H116" s="4">
        <v>6309703197</v>
      </c>
      <c r="I116" s="4" t="s">
        <v>501</v>
      </c>
      <c r="J116" s="4">
        <v>7794037163</v>
      </c>
      <c r="K116" t="str">
        <f ca="1">VLOOKUP(B116,[1]Sheet14!$C:$I,7,0)</f>
        <v>CJDarcl India Pvt Ltd</v>
      </c>
      <c r="M116" t="str">
        <f ca="1">VLOOKUP(B116,[1]Sheet14!$C:$J,8,0)</f>
        <v>prashant.mishra@cjdarcl.com</v>
      </c>
    </row>
    <row r="117" spans="1:13">
      <c r="A117">
        <v>116</v>
      </c>
      <c r="B117" s="2" t="s">
        <v>129</v>
      </c>
      <c r="C117" s="2" t="s">
        <v>190</v>
      </c>
      <c r="D117" t="str">
        <f ca="1">VLOOKUP(B117,[1]Sheet14!$C:$H,6,0)</f>
        <v>FMSC</v>
      </c>
      <c r="E117" s="2" t="s">
        <v>194</v>
      </c>
      <c r="F117" s="2" t="s">
        <v>229</v>
      </c>
      <c r="G117" s="2" t="s">
        <v>354</v>
      </c>
      <c r="H117" s="8">
        <v>9990171664</v>
      </c>
      <c r="I117" s="2"/>
      <c r="J117" s="25"/>
      <c r="K117" t="str">
        <f ca="1">VLOOKUP(B117,[1]Sheet14!$C:$I,7,0)</f>
        <v>SHREE VASU LOGISTICS LTD</v>
      </c>
      <c r="M117" t="str">
        <f ca="1">VLOOKUP(B117,[1]Sheet14!$C:$J,8,0)</f>
        <v>warehouseinchargeraj@shreevasulogistics.in</v>
      </c>
    </row>
    <row r="118" spans="1:13">
      <c r="A118">
        <v>117</v>
      </c>
      <c r="B118" s="2" t="s">
        <v>130</v>
      </c>
      <c r="C118" s="2" t="s">
        <v>192</v>
      </c>
      <c r="D118" t="str">
        <f ca="1">VLOOKUP(B118,[1]Sheet14!$C:$H,6,0)</f>
        <v>LMSC</v>
      </c>
      <c r="E118" s="2" t="s">
        <v>197</v>
      </c>
      <c r="F118" s="2" t="s">
        <v>216</v>
      </c>
      <c r="G118" s="2" t="s">
        <v>355</v>
      </c>
      <c r="H118" s="2">
        <v>7033787504</v>
      </c>
      <c r="I118" s="2" t="s">
        <v>502</v>
      </c>
      <c r="J118" s="2">
        <v>6204919495</v>
      </c>
      <c r="K118" t="str">
        <f ca="1">VLOOKUP(B118,[1]Sheet14!$C:$I,7,0)</f>
        <v>LastMile TransTech Private Limited</v>
      </c>
      <c r="M118" t="str">
        <f ca="1">VLOOKUP(B118,[1]Sheet14!$C:$J,8,0)</f>
        <v>madhu@lastmilelogistics.com</v>
      </c>
    </row>
    <row r="119" spans="1:13">
      <c r="A119">
        <v>118</v>
      </c>
      <c r="B119" s="2" t="s">
        <v>131</v>
      </c>
      <c r="C119" s="2" t="s">
        <v>193</v>
      </c>
      <c r="D119" t="str">
        <f ca="1">VLOOKUP(B119,[1]Sheet14!$C:$H,6,0)</f>
        <v>FMSC</v>
      </c>
      <c r="E119" s="2" t="s">
        <v>198</v>
      </c>
      <c r="F119" s="2" t="s">
        <v>209</v>
      </c>
      <c r="G119" s="2" t="s">
        <v>356</v>
      </c>
      <c r="H119" s="2">
        <v>8864936545</v>
      </c>
      <c r="I119" s="2" t="s">
        <v>503</v>
      </c>
      <c r="J119" s="2">
        <v>9991285034</v>
      </c>
      <c r="K119" t="str">
        <f ca="1">VLOOKUP(B119,[1]Sheet14!$C:$I,7,0)</f>
        <v>Seabird</v>
      </c>
      <c r="M119" t="str">
        <f ca="1">VLOOKUP(B119,[1]Sheet14!$C:$J,8,0)</f>
        <v>anil.kumar@seabird.co.in</v>
      </c>
    </row>
    <row r="120" spans="1:13">
      <c r="A120">
        <v>119</v>
      </c>
      <c r="B120" s="4" t="s">
        <v>132</v>
      </c>
      <c r="C120" s="4" t="s">
        <v>193</v>
      </c>
      <c r="D120" t="str">
        <f ca="1">VLOOKUP(B120,[1]Sheet14!$C:$H,6,0)</f>
        <v>FMSC</v>
      </c>
      <c r="E120" s="4" t="s">
        <v>198</v>
      </c>
      <c r="F120" s="4" t="s">
        <v>211</v>
      </c>
      <c r="G120" s="4"/>
      <c r="H120" s="4"/>
      <c r="I120" s="4"/>
      <c r="J120" s="4"/>
      <c r="K120" t="str">
        <f ca="1">VLOOKUP(B120,[1]Sheet14!$C:$I,7,0)</f>
        <v>Shiftway logistics</v>
      </c>
      <c r="M120" t="str">
        <f ca="1">VLOOKUP(B120,[1]Sheet14!$C:$J,8,0)</f>
        <v>deepak.kumar@shiftwaylogistics.com</v>
      </c>
    </row>
    <row r="121" spans="1:13">
      <c r="A121">
        <v>120</v>
      </c>
      <c r="B121" s="2" t="s">
        <v>133</v>
      </c>
      <c r="C121" s="2" t="s">
        <v>190</v>
      </c>
      <c r="D121" t="str">
        <f ca="1">VLOOKUP(B121,[1]Sheet14!$C:$H,6,0)</f>
        <v>FMSC</v>
      </c>
      <c r="E121" s="2" t="s">
        <v>196</v>
      </c>
      <c r="F121" s="2" t="s">
        <v>211</v>
      </c>
      <c r="G121" s="2" t="s">
        <v>357</v>
      </c>
      <c r="H121" s="2">
        <v>7340255068</v>
      </c>
      <c r="I121" s="2" t="s">
        <v>504</v>
      </c>
      <c r="J121" s="2">
        <v>9424385431</v>
      </c>
      <c r="K121" t="str">
        <f ca="1">VLOOKUP(B121,[1]Sheet14!$C:$I,7,0)</f>
        <v>Parnami Logistics &amp; Packing Centre Pvt. Ltd</v>
      </c>
      <c r="M121" t="str">
        <f ca="1">VLOOKUP(B121,[1]Sheet14!$C:$J,8,0)</f>
        <v>manager.operations@parnamigroup-logistics.com / servicepartner@adarshmarketing.com</v>
      </c>
    </row>
    <row r="122" spans="1:13">
      <c r="A122">
        <v>121</v>
      </c>
      <c r="B122" s="2" t="s">
        <v>134</v>
      </c>
      <c r="C122" s="2" t="s">
        <v>190</v>
      </c>
      <c r="D122" t="str">
        <f ca="1">VLOOKUP(B122,[1]Sheet14!$C:$H,6,0)</f>
        <v>LMSC</v>
      </c>
      <c r="E122" s="2" t="s">
        <v>196</v>
      </c>
      <c r="F122" s="2" t="s">
        <v>221</v>
      </c>
      <c r="G122" s="2" t="s">
        <v>358</v>
      </c>
      <c r="H122" s="2">
        <v>7027651512</v>
      </c>
      <c r="I122" s="2" t="s">
        <v>505</v>
      </c>
      <c r="J122" s="2">
        <v>8607481761</v>
      </c>
      <c r="K122" t="str">
        <f ca="1">VLOOKUP(B122,[1]Sheet14!$C:$I,7,0)</f>
        <v xml:space="preserve">M/S R.D Logistics </v>
      </c>
      <c r="M122" t="str">
        <f ca="1">VLOOKUP(B122,[1]Sheet14!$C:$J,8,0)</f>
        <v>sparsh.agarwal@rdespl.com</v>
      </c>
    </row>
    <row r="123" spans="1:13">
      <c r="A123">
        <v>122</v>
      </c>
      <c r="B123" s="2" t="s">
        <v>135</v>
      </c>
      <c r="C123" s="2" t="s">
        <v>193</v>
      </c>
      <c r="D123" t="str">
        <f ca="1">VLOOKUP(B123,[1]Sheet14!$C:$H,6,0)</f>
        <v>FMSC</v>
      </c>
      <c r="E123" s="2" t="s">
        <v>198</v>
      </c>
      <c r="F123" s="2" t="s">
        <v>225</v>
      </c>
      <c r="G123" s="11" t="s">
        <v>359</v>
      </c>
      <c r="H123" s="2">
        <v>8448244830</v>
      </c>
      <c r="I123" s="2" t="s">
        <v>506</v>
      </c>
      <c r="J123" s="2">
        <v>9415416798</v>
      </c>
      <c r="K123" t="str">
        <f ca="1">VLOOKUP(B123,[1]Sheet14!$C:$I,7,0)</f>
        <v>Jambulogix Private Limited</v>
      </c>
      <c r="M123" t="str">
        <f ca="1">VLOOKUP(B123,[1]Sheet14!$C:$J,8,0)</f>
        <v>deepu@jambulogix.com</v>
      </c>
    </row>
    <row r="124" spans="1:13">
      <c r="A124">
        <v>123</v>
      </c>
      <c r="B124" s="4" t="s">
        <v>136</v>
      </c>
      <c r="C124" s="4" t="s">
        <v>190</v>
      </c>
      <c r="D124" t="str">
        <f ca="1">VLOOKUP(B124,[1]Sheet14!$C:$H,6,0)</f>
        <v>LMSC</v>
      </c>
      <c r="E124" s="4" t="s">
        <v>196</v>
      </c>
      <c r="F124" s="4" t="s">
        <v>204</v>
      </c>
      <c r="G124" s="4" t="s">
        <v>360</v>
      </c>
      <c r="H124" s="4">
        <v>9987140855</v>
      </c>
      <c r="I124" s="4" t="s">
        <v>507</v>
      </c>
      <c r="J124" s="4">
        <v>9172031435</v>
      </c>
      <c r="K124" t="str">
        <f ca="1">VLOOKUP(B124,[1]Sheet14!$C:$I,7,0)</f>
        <v>LastMile TransTech Private Limited</v>
      </c>
      <c r="M124" t="str">
        <f ca="1">VLOOKUP(B124,[1]Sheet14!$C:$J,8,0)</f>
        <v>madhu@lastmilelogistics.in</v>
      </c>
    </row>
    <row r="125" spans="1:13">
      <c r="A125">
        <v>124</v>
      </c>
      <c r="B125" s="2" t="s">
        <v>137</v>
      </c>
      <c r="C125" s="2" t="s">
        <v>193</v>
      </c>
      <c r="D125" t="str">
        <f ca="1">VLOOKUP(B125,[1]Sheet14!$C:$H,6,0)</f>
        <v>FMSC</v>
      </c>
      <c r="E125" s="2" t="s">
        <v>199</v>
      </c>
      <c r="F125" s="2" t="s">
        <v>210</v>
      </c>
      <c r="G125" s="2" t="s">
        <v>361</v>
      </c>
      <c r="H125" s="2">
        <v>7503379592</v>
      </c>
      <c r="I125" s="2" t="s">
        <v>508</v>
      </c>
      <c r="J125" s="2">
        <v>9953211378</v>
      </c>
      <c r="K125" t="str">
        <f ca="1">VLOOKUP(B125,[1]Sheet14!$C:$I,7,0)</f>
        <v>RIGHT TO JOB</v>
      </c>
      <c r="M125" t="str">
        <f ca="1">VLOOKUP(B125,[1]Sheet14!$C:$J,8,0)</f>
        <v>opsrtj@righttojob.in</v>
      </c>
    </row>
    <row r="126" spans="1:13">
      <c r="A126">
        <v>125</v>
      </c>
      <c r="B126" s="2" t="s">
        <v>138</v>
      </c>
      <c r="C126" s="2" t="s">
        <v>193</v>
      </c>
      <c r="D126" t="str">
        <f ca="1">VLOOKUP(B126,[1]Sheet14!$C:$H,6,0)</f>
        <v>LMSC</v>
      </c>
      <c r="E126" s="2" t="s">
        <v>200</v>
      </c>
      <c r="F126" s="2" t="s">
        <v>241</v>
      </c>
      <c r="G126" s="2" t="s">
        <v>362</v>
      </c>
      <c r="H126" s="2">
        <v>8057179470</v>
      </c>
      <c r="I126" s="2" t="s">
        <v>509</v>
      </c>
      <c r="J126" s="2">
        <v>8279390701</v>
      </c>
      <c r="K126" t="str">
        <f ca="1">VLOOKUP(B126,[1]Sheet14!$C:$I,7,0)</f>
        <v>Shodh Services</v>
      </c>
      <c r="M126" t="str">
        <f ca="1">VLOOKUP(B126,[1]Sheet14!$C:$J,8,0)</f>
        <v>Hr@shodhservices.com</v>
      </c>
    </row>
    <row r="127" spans="1:13">
      <c r="A127">
        <v>126</v>
      </c>
      <c r="B127" s="2" t="s">
        <v>139</v>
      </c>
      <c r="C127" s="2" t="s">
        <v>193</v>
      </c>
      <c r="D127" t="str">
        <f ca="1">VLOOKUP(B127,[1]Sheet14!$C:$H,6,0)</f>
        <v>LMSC</v>
      </c>
      <c r="E127" s="2" t="s">
        <v>198</v>
      </c>
      <c r="F127" s="2" t="s">
        <v>215</v>
      </c>
      <c r="G127" s="12" t="s">
        <v>363</v>
      </c>
      <c r="H127" s="2">
        <v>9711746381</v>
      </c>
      <c r="I127" s="2" t="s">
        <v>510</v>
      </c>
      <c r="J127" s="2">
        <v>9354863679</v>
      </c>
      <c r="K127" t="str">
        <f ca="1">VLOOKUP(B127,[1]Sheet14!$C:$I,7,0)</f>
        <v>Braazo Delivery Services pvt ltd</v>
      </c>
      <c r="M127" t="str">
        <f ca="1">VLOOKUP(B127,[1]Sheet14!$C:$J,8,0)</f>
        <v>gaurav.pratik@braazo.com</v>
      </c>
    </row>
    <row r="128" spans="1:13">
      <c r="A128">
        <v>127</v>
      </c>
      <c r="B128" s="2" t="s">
        <v>140</v>
      </c>
      <c r="C128" s="2" t="s">
        <v>193</v>
      </c>
      <c r="D128" t="str">
        <f ca="1">VLOOKUP(B128,[1]Sheet14!$C:$H,6,0)</f>
        <v>FMSC</v>
      </c>
      <c r="E128" s="2" t="s">
        <v>198</v>
      </c>
      <c r="F128" s="2" t="s">
        <v>211</v>
      </c>
      <c r="G128" s="2" t="s">
        <v>364</v>
      </c>
      <c r="H128" s="2">
        <v>9627312707</v>
      </c>
      <c r="I128" s="2" t="s">
        <v>511</v>
      </c>
      <c r="J128" s="2">
        <v>9837003067</v>
      </c>
      <c r="K128" t="str">
        <f ca="1">VLOOKUP(B128,[1]Sheet14!$C:$I,7,0)</f>
        <v>Synchronized supply systems ltd</v>
      </c>
      <c r="M128" t="str">
        <f ca="1">VLOOKUP(B128,[1]Sheet14!$C:$J,8,0)</f>
        <v>mohit.jain@synchronized.in</v>
      </c>
    </row>
    <row r="129" spans="1:13">
      <c r="A129">
        <v>128</v>
      </c>
      <c r="B129" s="4" t="s">
        <v>141</v>
      </c>
      <c r="C129" s="4" t="s">
        <v>192</v>
      </c>
      <c r="D129" t="str">
        <f ca="1">VLOOKUP(B129,[1]Sheet14!$C:$H,6,0)</f>
        <v>LMSC</v>
      </c>
      <c r="E129" s="4" t="s">
        <v>197</v>
      </c>
      <c r="F129" s="4" t="s">
        <v>230</v>
      </c>
      <c r="G129" s="4" t="s">
        <v>365</v>
      </c>
      <c r="H129" s="4">
        <v>8509291655</v>
      </c>
      <c r="I129" s="4" t="s">
        <v>512</v>
      </c>
      <c r="J129" s="4">
        <v>7908510116</v>
      </c>
      <c r="K129" t="str">
        <f ca="1">VLOOKUP(B129,[1]Sheet14!$C:$I,7,0)</f>
        <v>Pranik Logistics Limited</v>
      </c>
      <c r="M129" t="str">
        <f ca="1">VLOOKUP(B129,[1]Sheet14!$C:$J,8,0)</f>
        <v>Arnab@pranikgroup.com</v>
      </c>
    </row>
    <row r="130" spans="1:13">
      <c r="A130">
        <v>129</v>
      </c>
      <c r="B130" s="2" t="s">
        <v>142</v>
      </c>
      <c r="C130" s="2" t="s">
        <v>192</v>
      </c>
      <c r="D130" t="str">
        <f ca="1">VLOOKUP(B130,[1]Sheet14!$C:$H,6,0)</f>
        <v>FMSC</v>
      </c>
      <c r="E130" s="2" t="s">
        <v>197</v>
      </c>
      <c r="F130" s="2" t="s">
        <v>218</v>
      </c>
      <c r="G130" s="2"/>
      <c r="H130" s="2"/>
      <c r="I130" s="2" t="s">
        <v>513</v>
      </c>
      <c r="J130" s="2" t="s">
        <v>547</v>
      </c>
      <c r="K130" t="str">
        <f ca="1">VLOOKUP(B130,[1]Sheet14!$C:$I,7,0)</f>
        <v>Schenker India Private Limited</v>
      </c>
      <c r="M130" t="str">
        <f ca="1">VLOOKUP(B130,[1]Sheet14!$C:$J,8,0)</f>
        <v>ayananta.kundu@dbschenker.com</v>
      </c>
    </row>
    <row r="131" spans="1:13">
      <c r="A131">
        <v>130</v>
      </c>
      <c r="B131" s="2" t="s">
        <v>143</v>
      </c>
      <c r="C131" s="2" t="s">
        <v>192</v>
      </c>
      <c r="D131" t="str">
        <f ca="1">VLOOKUP(B131,[1]Sheet14!$C:$H,6,0)</f>
        <v>LMSC</v>
      </c>
      <c r="E131" s="2" t="s">
        <v>197</v>
      </c>
      <c r="F131" s="2" t="s">
        <v>218</v>
      </c>
      <c r="G131" s="2" t="s">
        <v>366</v>
      </c>
      <c r="H131" s="2">
        <v>9330433451</v>
      </c>
      <c r="I131" s="2" t="s">
        <v>514</v>
      </c>
      <c r="J131" s="2">
        <v>7908731819</v>
      </c>
      <c r="K131" t="str">
        <f ca="1">VLOOKUP(B131,[1]Sheet14!$C:$I,7,0)</f>
        <v>FedEx Logistics India Private Limited</v>
      </c>
      <c r="M131" t="str">
        <f ca="1">VLOOKUP(B131,[1]Sheet14!$C:$J,8,0)</f>
        <v>Sandeepsingh6@fedex.com</v>
      </c>
    </row>
    <row r="132" spans="1:13">
      <c r="A132">
        <v>131</v>
      </c>
      <c r="B132" s="2" t="s">
        <v>144</v>
      </c>
      <c r="C132" s="2" t="s">
        <v>192</v>
      </c>
      <c r="D132" t="str">
        <f ca="1">VLOOKUP(B132,[1]Sheet14!$C:$H,6,0)</f>
        <v>Gateway</v>
      </c>
      <c r="E132" s="2" t="s">
        <v>197</v>
      </c>
      <c r="F132" s="2" t="s">
        <v>218</v>
      </c>
      <c r="G132" s="2" t="s">
        <v>367</v>
      </c>
      <c r="H132" s="2">
        <v>9123772371</v>
      </c>
      <c r="I132" s="2" t="s">
        <v>515</v>
      </c>
      <c r="J132" s="2">
        <v>9674018677</v>
      </c>
      <c r="K132" t="str">
        <f ca="1">VLOOKUP(B132,[1]Sheet14!$C:$I,7,0)</f>
        <v>DeliveryPlus</v>
      </c>
      <c r="M132" t="str">
        <f ca="1">VLOOKUP(B132,[1]Sheet14!$C:$J,8,0)</f>
        <v>ranjeetsingh@deliveryplus.co.in</v>
      </c>
    </row>
    <row r="133" spans="1:13">
      <c r="A133">
        <v>132</v>
      </c>
      <c r="B133" s="4" t="s">
        <v>145</v>
      </c>
      <c r="C133" s="4" t="s">
        <v>192</v>
      </c>
      <c r="D133" t="str">
        <f ca="1">VLOOKUP(B133,[1]Sheet14!$C:$H,6,0)</f>
        <v>LMSC</v>
      </c>
      <c r="E133" s="4" t="s">
        <v>197</v>
      </c>
      <c r="F133" s="4" t="s">
        <v>207</v>
      </c>
      <c r="G133" s="13" t="s">
        <v>368</v>
      </c>
      <c r="H133" s="19">
        <v>9777620745</v>
      </c>
      <c r="I133" s="4" t="s">
        <v>516</v>
      </c>
      <c r="J133" s="4">
        <v>9937659537</v>
      </c>
      <c r="K133" t="str">
        <f ca="1">VLOOKUP(B133,[1]Sheet14!$C:$I,7,0)</f>
        <v>SHREE VASU LOGISTICS LTD</v>
      </c>
      <c r="M133" t="str">
        <f ca="1">VLOOKUP(B133,[1]Sheet14!$C:$J,8,0)</f>
        <v>ritu@shreevasulogistics.com</v>
      </c>
    </row>
    <row r="134" spans="1:13">
      <c r="A134">
        <v>133</v>
      </c>
      <c r="B134" s="2" t="s">
        <v>146</v>
      </c>
      <c r="C134" s="2" t="s">
        <v>193</v>
      </c>
      <c r="D134" t="str">
        <f ca="1">VLOOKUP(B134,[1]Sheet14!$C:$H,6,0)</f>
        <v>Gateway</v>
      </c>
      <c r="E134" s="2" t="s">
        <v>198</v>
      </c>
      <c r="F134" s="2" t="s">
        <v>211</v>
      </c>
      <c r="G134" s="2" t="s">
        <v>369</v>
      </c>
      <c r="H134" s="2">
        <v>8433046869</v>
      </c>
      <c r="I134" s="2" t="s">
        <v>517</v>
      </c>
      <c r="J134" s="2">
        <v>9999166970</v>
      </c>
      <c r="K134" t="str">
        <f ca="1">VLOOKUP(B134,[1]Sheet14!$C:$I,7,0)</f>
        <v>FIBS Logistics India Private Limited</v>
      </c>
      <c r="M134" t="str">
        <f ca="1">VLOOKUP(B134,[1]Sheet14!$C:$J,8,0)</f>
        <v>md.hussain@fibs-logistics.com</v>
      </c>
    </row>
    <row r="135" spans="1:13">
      <c r="A135">
        <v>134</v>
      </c>
      <c r="B135" s="2" t="s">
        <v>147</v>
      </c>
      <c r="C135" s="2" t="s">
        <v>193</v>
      </c>
      <c r="D135" t="str">
        <f ca="1">VLOOKUP(B135,[1]Sheet14!$C:$H,6,0)</f>
        <v>Gateway</v>
      </c>
      <c r="E135" s="2" t="s">
        <v>198</v>
      </c>
      <c r="F135" s="2" t="s">
        <v>209</v>
      </c>
      <c r="G135" s="2" t="s">
        <v>370</v>
      </c>
      <c r="H135" s="2">
        <v>8192050676</v>
      </c>
      <c r="I135" s="2" t="s">
        <v>518</v>
      </c>
      <c r="J135" s="2">
        <v>7017142199</v>
      </c>
      <c r="K135" t="str">
        <f ca="1">VLOOKUP(B135,[1]Sheet14!$C:$I,7,0)</f>
        <v>Ntex Transportation Services Pvt Ltd.</v>
      </c>
      <c r="M135" t="str">
        <f ca="1">VLOOKUP(B135,[1]Sheet14!$C:$J,8,0)</f>
        <v>ankit.rana@elastic.run</v>
      </c>
    </row>
    <row r="136" spans="1:13">
      <c r="A136">
        <v>135</v>
      </c>
      <c r="B136" s="2" t="s">
        <v>148</v>
      </c>
      <c r="C136" s="2" t="s">
        <v>191</v>
      </c>
      <c r="D136" t="str">
        <f ca="1">VLOOKUP(B136,[1]Sheet14!$C:$H,6,0)</f>
        <v>LMSC</v>
      </c>
      <c r="E136" s="2" t="s">
        <v>195</v>
      </c>
      <c r="F136" s="2" t="s">
        <v>202</v>
      </c>
      <c r="G136" s="2" t="s">
        <v>371</v>
      </c>
      <c r="H136" s="2">
        <v>7204214516</v>
      </c>
      <c r="I136" s="2" t="s">
        <v>519</v>
      </c>
      <c r="J136" s="2">
        <v>9032477716</v>
      </c>
      <c r="K136" t="str">
        <f ca="1">VLOOKUP(B136,[1]Sheet14!$C:$I,7,0)</f>
        <v>Proconnect Supply Chain Solutions Limited</v>
      </c>
      <c r="M136" t="str">
        <f ca="1">VLOOKUP(B136,[1]Sheet14!$C:$J,8,0)</f>
        <v>gupta.kumar@proconnectlogistics.com</v>
      </c>
    </row>
    <row r="137" spans="1:13">
      <c r="A137">
        <v>136</v>
      </c>
      <c r="B137" s="4" t="s">
        <v>149</v>
      </c>
      <c r="C137" s="4" t="s">
        <v>190</v>
      </c>
      <c r="D137" t="str">
        <f ca="1">VLOOKUP(B137,[1]Sheet14!$C:$H,6,0)</f>
        <v>LMSC</v>
      </c>
      <c r="E137" s="4" t="s">
        <v>196</v>
      </c>
      <c r="F137" s="4" t="s">
        <v>247</v>
      </c>
      <c r="G137" s="4" t="s">
        <v>372</v>
      </c>
      <c r="H137" s="4">
        <v>8109234404</v>
      </c>
      <c r="I137" s="4" t="s">
        <v>402</v>
      </c>
      <c r="J137" s="4">
        <v>9301528602</v>
      </c>
      <c r="K137" t="str">
        <f ca="1">VLOOKUP(B137,[1]Sheet14!$C:$I,7,0)</f>
        <v>Gotek Logistics Private Limited</v>
      </c>
      <c r="M137" t="str">
        <f ca="1">VLOOKUP(B137,[1]Sheet14!$C:$J,8,0)</f>
        <v xml:space="preserve"> Prashanth.b@isalogistics.in</v>
      </c>
    </row>
    <row r="138" spans="1:13">
      <c r="A138">
        <v>137</v>
      </c>
      <c r="B138" s="2" t="s">
        <v>150</v>
      </c>
      <c r="C138" s="2" t="s">
        <v>190</v>
      </c>
      <c r="D138" t="str">
        <f ca="1">VLOOKUP(B138,[1]Sheet14!$C:$H,6,0)</f>
        <v>FMSC</v>
      </c>
      <c r="E138" s="2" t="s">
        <v>194</v>
      </c>
      <c r="F138" s="2" t="s">
        <v>234</v>
      </c>
      <c r="G138" s="2" t="s">
        <v>373</v>
      </c>
      <c r="H138" s="2">
        <v>7827533548</v>
      </c>
      <c r="I138" s="2"/>
      <c r="J138" s="2"/>
      <c r="K138" t="str">
        <f ca="1">VLOOKUP(B138,[1]Sheet14!$C:$I,7,0)</f>
        <v>CJDarcl India Pvt Ltd</v>
      </c>
      <c r="M138" t="str">
        <f ca="1">VLOOKUP(B138,[1]Sheet14!$C:$J,8,0)</f>
        <v>meesho_surat_wh@cjdarcl.com</v>
      </c>
    </row>
    <row r="139" spans="1:13">
      <c r="A139">
        <v>138</v>
      </c>
      <c r="B139" s="2" t="s">
        <v>151</v>
      </c>
      <c r="C139" s="2" t="s">
        <v>193</v>
      </c>
      <c r="D139" t="str">
        <f ca="1">VLOOKUP(B139,[1]Sheet14!$C:$H,6,0)</f>
        <v>LMSC</v>
      </c>
      <c r="E139" s="2" t="s">
        <v>200</v>
      </c>
      <c r="F139" s="2" t="s">
        <v>238</v>
      </c>
      <c r="G139" s="2" t="s">
        <v>374</v>
      </c>
      <c r="H139" s="2">
        <v>8726728027</v>
      </c>
      <c r="I139" s="2" t="s">
        <v>520</v>
      </c>
      <c r="J139" s="2">
        <v>8795780451</v>
      </c>
      <c r="K139" t="str">
        <f ca="1">VLOOKUP(B139,[1]Sheet14!$C:$I,7,0)</f>
        <v>V2V Supply Chain Pvt Ltd</v>
      </c>
      <c r="M139" t="str">
        <f ca="1">VLOOKUP(B139,[1]Sheet14!$C:$J,8,0)</f>
        <v>ashish.singh@v2vsupplychains.com</v>
      </c>
    </row>
    <row r="140" spans="1:13">
      <c r="A140">
        <v>139</v>
      </c>
      <c r="B140" s="2" t="s">
        <v>152</v>
      </c>
      <c r="C140" s="2" t="s">
        <v>190</v>
      </c>
      <c r="D140" t="str">
        <f ca="1">VLOOKUP(B140,[1]Sheet14!$C:$H,6,0)</f>
        <v>Gateway</v>
      </c>
      <c r="E140" s="2" t="s">
        <v>194</v>
      </c>
      <c r="F140" s="2" t="s">
        <v>234</v>
      </c>
      <c r="G140" s="2" t="s">
        <v>375</v>
      </c>
      <c r="H140" s="2">
        <v>9669575993</v>
      </c>
      <c r="I140" s="2"/>
      <c r="J140" s="2">
        <v>9812502061</v>
      </c>
      <c r="K140" t="str">
        <f ca="1">VLOOKUP(B140,[1]Sheet14!$C:$I,7,0)</f>
        <v>CJDarcl India Pvt Ltd</v>
      </c>
      <c r="M140" t="str">
        <f ca="1">VLOOKUP(B140,[1]Sheet14!$C:$J,8,0)</f>
        <v>meesho_surat_wh@cjdarcl.com</v>
      </c>
    </row>
    <row r="141" spans="1:13">
      <c r="A141">
        <v>140</v>
      </c>
      <c r="B141" s="2" t="s">
        <v>153</v>
      </c>
      <c r="C141" s="2" t="s">
        <v>193</v>
      </c>
      <c r="D141" t="str">
        <f ca="1">VLOOKUP(B141,[1]Sheet14!$C:$H,6,0)</f>
        <v>LMSC</v>
      </c>
      <c r="E141" s="2" t="s">
        <v>200</v>
      </c>
      <c r="F141" s="2" t="s">
        <v>238</v>
      </c>
      <c r="G141" s="2" t="s">
        <v>376</v>
      </c>
      <c r="H141" s="2">
        <v>9974555917</v>
      </c>
      <c r="I141" s="2" t="s">
        <v>521</v>
      </c>
      <c r="J141" s="2">
        <v>8825144377</v>
      </c>
      <c r="K141" t="str">
        <f ca="1">VLOOKUP(B141,[1]Sheet14!$C:$I,7,0)</f>
        <v>Gotek Logistics Private Limited</v>
      </c>
      <c r="M141" t="str">
        <f ca="1">VLOOKUP(B141,[1]Sheet14!$C:$J,8,0)</f>
        <v> Prashanth.b@isalogistics.in</v>
      </c>
    </row>
    <row r="142" spans="1:13">
      <c r="A142">
        <v>141</v>
      </c>
      <c r="B142" s="4" t="s">
        <v>154</v>
      </c>
      <c r="C142" s="4" t="s">
        <v>193</v>
      </c>
      <c r="D142" t="str">
        <f ca="1">VLOOKUP(B142,[1]Sheet14!$C:$H,6,0)</f>
        <v>LMSC</v>
      </c>
      <c r="E142" s="4" t="s">
        <v>198</v>
      </c>
      <c r="F142" s="4" t="s">
        <v>243</v>
      </c>
      <c r="G142" s="4"/>
      <c r="H142" s="4"/>
      <c r="I142" s="4"/>
      <c r="J142" s="4"/>
      <c r="K142" t="str">
        <f ca="1">VLOOKUP(B142,[1]Sheet14!$C:$I,7,0)</f>
        <v>Ethics Prosperity Pvt. Ltd.</v>
      </c>
      <c r="M142" t="str">
        <f ca="1">VLOOKUP(B142,[1]Sheet14!$C:$J,8,0)</f>
        <v>mudit.goyal@ethicsgroup.in</v>
      </c>
    </row>
    <row r="143" spans="1:13">
      <c r="A143">
        <v>142</v>
      </c>
      <c r="B143" s="2" t="s">
        <v>155</v>
      </c>
      <c r="C143" s="2" t="s">
        <v>190</v>
      </c>
      <c r="D143" t="str">
        <f ca="1">VLOOKUP(B143,[1]Sheet14!$C:$H,6,0)</f>
        <v>Gateway</v>
      </c>
      <c r="E143" s="2" t="s">
        <v>194</v>
      </c>
      <c r="F143" s="2" t="s">
        <v>232</v>
      </c>
      <c r="G143" s="2" t="s">
        <v>377</v>
      </c>
      <c r="H143" s="2">
        <v>8349966315</v>
      </c>
      <c r="I143" s="2" t="s">
        <v>522</v>
      </c>
      <c r="J143" s="2">
        <v>9637889815</v>
      </c>
      <c r="K143" t="str">
        <f ca="1">VLOOKUP(B143,[1]Sheet14!$C:$I,7,0)</f>
        <v>Shree Maruti Integrated Logistics Limited</v>
      </c>
      <c r="M143" t="str">
        <f ca="1">VLOOKUP(B143,[1]Sheet14!$C:$J,8,0)</f>
        <v>ezaz.shaikh@shreemaruti.com</v>
      </c>
    </row>
    <row r="144" spans="1:13">
      <c r="A144">
        <v>143</v>
      </c>
      <c r="B144" s="2" t="s">
        <v>156</v>
      </c>
      <c r="C144" s="2" t="s">
        <v>193</v>
      </c>
      <c r="D144" t="str">
        <f ca="1">VLOOKUP(B144,[1]Sheet14!$C:$H,6,0)</f>
        <v>LMSC</v>
      </c>
      <c r="E144" s="2" t="s">
        <v>199</v>
      </c>
      <c r="F144" s="2" t="s">
        <v>243</v>
      </c>
      <c r="G144" s="2" t="s">
        <v>378</v>
      </c>
      <c r="H144" s="2">
        <v>7321052939</v>
      </c>
      <c r="I144" s="2" t="s">
        <v>523</v>
      </c>
      <c r="J144" s="2">
        <v>8532901168</v>
      </c>
      <c r="K144" t="str">
        <f ca="1">VLOOKUP(B144,[1]Sheet14!$C:$I,7,0)</f>
        <v>Briskworld Ventures Pvt. Ltd</v>
      </c>
      <c r="M144" t="str">
        <f ca="1">VLOOKUP(B144,[1]Sheet14!$C:$J,8,0)</f>
        <v>anoop.attri@glasswing.in</v>
      </c>
    </row>
    <row r="145" spans="1:13">
      <c r="A145">
        <v>144</v>
      </c>
      <c r="B145" s="2" t="s">
        <v>157</v>
      </c>
      <c r="C145" s="2" t="s">
        <v>191</v>
      </c>
      <c r="D145" t="str">
        <f ca="1">VLOOKUP(B145,[1]Sheet14!$C:$H,6,0)</f>
        <v>LMSC</v>
      </c>
      <c r="E145" s="2" t="s">
        <v>195</v>
      </c>
      <c r="F145" s="2" t="s">
        <v>248</v>
      </c>
      <c r="G145" s="2" t="s">
        <v>379</v>
      </c>
      <c r="H145" s="2">
        <v>9966553944</v>
      </c>
      <c r="I145" s="2" t="s">
        <v>524</v>
      </c>
      <c r="J145" s="2">
        <v>94923451390</v>
      </c>
      <c r="K145" t="str">
        <f ca="1">VLOOKUP(B145,[1]Sheet14!$C:$I,7,0)</f>
        <v>Optimizing Resources Private Limited</v>
      </c>
      <c r="M145" t="str">
        <f ca="1">VLOOKUP(B145,[1]Sheet14!$C:$J,8,0)</f>
        <v>ujienamartin@warehousenow.in </v>
      </c>
    </row>
    <row r="146" spans="1:13">
      <c r="A146">
        <v>145</v>
      </c>
      <c r="B146" s="2" t="s">
        <v>158</v>
      </c>
      <c r="C146" s="2" t="s">
        <v>190</v>
      </c>
      <c r="D146" t="str">
        <f ca="1">VLOOKUP(B146,[1]Sheet14!$C:$H,6,0)</f>
        <v>LMSC</v>
      </c>
      <c r="E146" s="2" t="s">
        <v>194</v>
      </c>
      <c r="F146" s="2" t="s">
        <v>233</v>
      </c>
      <c r="G146" s="2" t="s">
        <v>292</v>
      </c>
      <c r="H146" s="2">
        <v>8690056113</v>
      </c>
      <c r="I146" s="2" t="s">
        <v>525</v>
      </c>
      <c r="J146" s="2">
        <v>9724030383</v>
      </c>
      <c r="K146" t="str">
        <f ca="1">VLOOKUP(B146,[1]Sheet14!$C:$I,7,0)</f>
        <v>Ntex Transportation Services Pvt Ltd.</v>
      </c>
      <c r="M146" t="str">
        <f ca="1">VLOOKUP(B146,[1]Sheet14!$C:$J,8,0)</f>
        <v>tarunkumar.radadiya@elastic.run</v>
      </c>
    </row>
    <row r="147" spans="1:13">
      <c r="A147">
        <v>146</v>
      </c>
      <c r="B147" s="2" t="s">
        <v>159</v>
      </c>
      <c r="C147" s="2" t="s">
        <v>190</v>
      </c>
      <c r="D147" t="str">
        <f ca="1">VLOOKUP(B147,[1]Sheet14!$C:$H,6,0)</f>
        <v>Gateway</v>
      </c>
      <c r="E147" s="2" t="s">
        <v>196</v>
      </c>
      <c r="F147" s="2" t="s">
        <v>220</v>
      </c>
      <c r="G147" s="2" t="s">
        <v>380</v>
      </c>
      <c r="H147" s="2">
        <v>7877868720</v>
      </c>
      <c r="I147" s="2"/>
      <c r="J147" s="2"/>
      <c r="K147" t="str">
        <f ca="1">VLOOKUP(B147,[1]Sheet14!$C:$I,7,0)</f>
        <v>SHREE VASU LOGISTICS LTD</v>
      </c>
      <c r="M147" t="str">
        <f ca="1">VLOOKUP(B147,[1]Sheet14!$C:$J,8,0)</f>
        <v>warehouseinchargejaipur@shreevasulogistics.in</v>
      </c>
    </row>
    <row r="148" spans="1:13">
      <c r="A148">
        <v>147</v>
      </c>
      <c r="B148" s="2" t="s">
        <v>160</v>
      </c>
      <c r="C148" s="2" t="s">
        <v>193</v>
      </c>
      <c r="D148" t="str">
        <f ca="1">VLOOKUP(B148,[1]Sheet14!$C:$H,6,0)</f>
        <v>Hybrid</v>
      </c>
      <c r="E148" s="2" t="s">
        <v>200</v>
      </c>
      <c r="F148" s="2" t="s">
        <v>244</v>
      </c>
      <c r="G148" s="2" t="s">
        <v>381</v>
      </c>
      <c r="H148" s="2">
        <v>8173086829</v>
      </c>
      <c r="I148" s="2" t="s">
        <v>526</v>
      </c>
      <c r="J148" s="2">
        <v>8299178319</v>
      </c>
      <c r="K148" t="str">
        <f ca="1">VLOOKUP(B148,[1]Sheet14!$C:$I,7,0)</f>
        <v>DeliveryPlus</v>
      </c>
      <c r="M148" t="str">
        <f ca="1">VLOOKUP(B148,[1]Sheet14!$C:$J,8,0)</f>
        <v>ranjeetsingh@deliveryplus.co.in</v>
      </c>
    </row>
    <row r="149" spans="1:13">
      <c r="A149">
        <v>148</v>
      </c>
      <c r="B149" s="2" t="s">
        <v>161</v>
      </c>
      <c r="C149" s="2" t="s">
        <v>191</v>
      </c>
      <c r="D149" t="str">
        <f ca="1">VLOOKUP(B149,[1]Sheet14!$C:$H,6,0)</f>
        <v>LMSC</v>
      </c>
      <c r="E149" s="2" t="s">
        <v>195</v>
      </c>
      <c r="F149" s="2" t="s">
        <v>203</v>
      </c>
      <c r="G149" s="2" t="s">
        <v>382</v>
      </c>
      <c r="H149" s="2" t="s">
        <v>414</v>
      </c>
      <c r="I149" s="2" t="s">
        <v>527</v>
      </c>
      <c r="J149" s="2">
        <v>9511785864</v>
      </c>
      <c r="K149" t="str">
        <f ca="1">VLOOKUP(B149,[1]Sheet14!$C:$I,7,0)</f>
        <v>TRACXLogis India Private Limited</v>
      </c>
      <c r="M149" t="str">
        <f ca="1">VLOOKUP(B149,[1]Sheet14!$C:$J,8,0)</f>
        <v>pradeep.kumar@qxpress.in</v>
      </c>
    </row>
    <row r="150" spans="1:13">
      <c r="A150">
        <v>149</v>
      </c>
      <c r="B150" s="4" t="s">
        <v>162</v>
      </c>
      <c r="C150" s="4" t="s">
        <v>190</v>
      </c>
      <c r="D150" t="str">
        <f ca="1">VLOOKUP(B150,[1]Sheet14!$C:$H,6,0)</f>
        <v>LMSC</v>
      </c>
      <c r="E150" s="4" t="s">
        <v>196</v>
      </c>
      <c r="F150" s="4" t="s">
        <v>228</v>
      </c>
      <c r="G150" s="4"/>
      <c r="H150" s="4"/>
      <c r="I150" s="4"/>
      <c r="J150" s="4"/>
      <c r="K150" t="str">
        <f ca="1">VLOOKUP(B150,[1]Sheet14!$C:$I,7,0)</f>
        <v>Edgistify</v>
      </c>
      <c r="M150" t="str">
        <f ca="1">VLOOKUP(B150,[1]Sheet14!$C:$J,8,0)</f>
        <v>shubhajit.roy@edgistify.com</v>
      </c>
    </row>
    <row r="151" spans="1:13">
      <c r="A151">
        <v>150</v>
      </c>
      <c r="B151" s="2" t="s">
        <v>163</v>
      </c>
      <c r="C151" s="2" t="s">
        <v>193</v>
      </c>
      <c r="D151" t="str">
        <f ca="1">VLOOKUP(B151,[1]Sheet14!$C:$H,6,0)</f>
        <v>Gateway</v>
      </c>
      <c r="E151" s="2" t="s">
        <v>199</v>
      </c>
      <c r="F151" s="2" t="s">
        <v>213</v>
      </c>
      <c r="G151" s="7" t="s">
        <v>383</v>
      </c>
      <c r="H151" s="3">
        <v>7078370856</v>
      </c>
      <c r="I151" s="2" t="s">
        <v>528</v>
      </c>
      <c r="J151" s="16">
        <v>8950644771</v>
      </c>
      <c r="K151" t="str">
        <f ca="1">VLOOKUP(B151,[1]Sheet14!$C:$I,7,0)</f>
        <v>FREIGHT SYSTEMS INDIA PRIVATE LIMITED</v>
      </c>
      <c r="M151" t="str">
        <f ca="1">VLOOKUP(B151,[1]Sheet14!$C:$J,8,0)</f>
        <v>Deepak.mor@freightsystems.com</v>
      </c>
    </row>
    <row r="152" spans="1:13">
      <c r="A152">
        <v>151</v>
      </c>
      <c r="B152" s="2" t="s">
        <v>164</v>
      </c>
      <c r="C152" s="2" t="s">
        <v>190</v>
      </c>
      <c r="D152" t="str">
        <f ca="1">VLOOKUP(B152,[1]Sheet14!$C:$H,6,0)</f>
        <v>FMSC</v>
      </c>
      <c r="E152" s="2" t="s">
        <v>194</v>
      </c>
      <c r="F152" s="2" t="s">
        <v>232</v>
      </c>
      <c r="G152" s="2" t="s">
        <v>384</v>
      </c>
      <c r="H152" s="2">
        <v>9898244977</v>
      </c>
      <c r="I152" s="2" t="s">
        <v>344</v>
      </c>
      <c r="J152" s="2">
        <v>9168377043</v>
      </c>
      <c r="K152" t="str">
        <f ca="1">VLOOKUP(B152,[1]Sheet14!$C:$I,7,0)</f>
        <v>Adamas</v>
      </c>
      <c r="M152" t="str">
        <f ca="1">VLOOKUP(B152,[1]Sheet14!$C:$J,8,0)</f>
        <v>mudit.goyal@ethicsgroup.in</v>
      </c>
    </row>
    <row r="153" spans="1:13">
      <c r="A153">
        <v>152</v>
      </c>
      <c r="B153" s="2" t="s">
        <v>165</v>
      </c>
      <c r="C153" s="2" t="s">
        <v>191</v>
      </c>
      <c r="D153" t="str">
        <f ca="1">VLOOKUP(B153,[1]Sheet14!$C:$H,6,0)</f>
        <v>LMSC</v>
      </c>
      <c r="E153" s="2" t="s">
        <v>195</v>
      </c>
      <c r="F153" s="2" t="s">
        <v>242</v>
      </c>
      <c r="G153" s="2" t="s">
        <v>385</v>
      </c>
      <c r="H153" s="2">
        <v>8121722331</v>
      </c>
      <c r="I153" s="2" t="s">
        <v>529</v>
      </c>
      <c r="J153" s="2">
        <v>8247226013</v>
      </c>
      <c r="K153" t="str">
        <f ca="1">VLOOKUP(B153,[1]Sheet14!$C:$I,7,0)</f>
        <v>MRC Logistics (India) Pvt. Ltd</v>
      </c>
      <c r="M153" t="str">
        <f ca="1">VLOOKUP(B153,[1]Sheet14!$C:$J,8,0)</f>
        <v>sandeep.srivastava@mrcindia.com</v>
      </c>
    </row>
    <row r="154" spans="1:13">
      <c r="A154">
        <v>153</v>
      </c>
      <c r="B154" s="2" t="s">
        <v>166</v>
      </c>
      <c r="C154" s="2" t="s">
        <v>191</v>
      </c>
      <c r="D154" t="str">
        <f ca="1">VLOOKUP(B154,[1]Sheet14!$C:$H,6,0)</f>
        <v>LMSC</v>
      </c>
      <c r="E154" s="2" t="s">
        <v>195</v>
      </c>
      <c r="F154" s="2" t="s">
        <v>208</v>
      </c>
      <c r="G154" s="2" t="s">
        <v>386</v>
      </c>
      <c r="H154" s="2">
        <v>6381376935</v>
      </c>
      <c r="I154" s="2" t="s">
        <v>530</v>
      </c>
      <c r="J154" s="2">
        <v>9080870413</v>
      </c>
      <c r="K154" t="str">
        <f ca="1">VLOOKUP(B154,[1]Sheet14!$C:$I,7,0)</f>
        <v>IBOB SCS</v>
      </c>
      <c r="M154" t="str">
        <f ca="1">VLOOKUP(B154,[1]Sheet14!$C:$J,8,0)</f>
        <v>Rajkumaar.nk@ibobscs.com</v>
      </c>
    </row>
    <row r="155" spans="1:13">
      <c r="A155">
        <v>154</v>
      </c>
      <c r="B155" s="2" t="s">
        <v>167</v>
      </c>
      <c r="C155" s="2" t="s">
        <v>193</v>
      </c>
      <c r="D155" t="str">
        <f ca="1">VLOOKUP(B155,[1]Sheet14!$C:$H,6,0)</f>
        <v>Gateway</v>
      </c>
      <c r="E155" s="2" t="s">
        <v>198</v>
      </c>
      <c r="F155" s="2" t="s">
        <v>214</v>
      </c>
      <c r="G155" s="2" t="s">
        <v>387</v>
      </c>
      <c r="H155" s="2">
        <v>9649306441</v>
      </c>
      <c r="I155" s="2" t="s">
        <v>531</v>
      </c>
      <c r="J155" s="2">
        <v>9507747197</v>
      </c>
      <c r="K155" t="str">
        <f ca="1">VLOOKUP(B155,[1]Sheet14!$C:$I,7,0)</f>
        <v>CJDarcl India Pvt Ltd</v>
      </c>
      <c r="M155" t="str">
        <f ca="1">VLOOKUP(B155,[1]Sheet14!$C:$J,8,0)</f>
        <v>prashant.mishra@cjdarcl.com</v>
      </c>
    </row>
    <row r="156" spans="1:13">
      <c r="A156">
        <v>155</v>
      </c>
      <c r="B156" s="2" t="s">
        <v>168</v>
      </c>
      <c r="C156" s="2" t="s">
        <v>191</v>
      </c>
      <c r="D156" t="str">
        <f ca="1">VLOOKUP(B156,[1]Sheet14!$C:$H,6,0)</f>
        <v>LMSC</v>
      </c>
      <c r="E156" s="2" t="s">
        <v>195</v>
      </c>
      <c r="F156" s="2" t="s">
        <v>223</v>
      </c>
      <c r="G156" s="2" t="s">
        <v>388</v>
      </c>
      <c r="H156" s="2">
        <v>9995305036</v>
      </c>
      <c r="I156" s="3" t="s">
        <v>532</v>
      </c>
      <c r="J156" s="3">
        <v>8129392273</v>
      </c>
      <c r="K156" t="str">
        <f ca="1">VLOOKUP(B156,[1]Sheet14!$C:$I,7,0)</f>
        <v>Goline Networks Private Limited</v>
      </c>
      <c r="M156" t="str">
        <f ca="1">VLOOKUP(B156,[1]Sheet14!$C:$J,8,0)</f>
        <v>Jyothis@goline.in</v>
      </c>
    </row>
    <row r="157" spans="1:13">
      <c r="A157">
        <v>156</v>
      </c>
      <c r="B157" s="2" t="s">
        <v>169</v>
      </c>
      <c r="C157" s="2" t="s">
        <v>190</v>
      </c>
      <c r="D157" t="str">
        <f ca="1">VLOOKUP(B157,[1]Sheet14!$C:$H,6,0)</f>
        <v>FMSC</v>
      </c>
      <c r="E157" s="2" t="s">
        <v>194</v>
      </c>
      <c r="F157" s="2" t="s">
        <v>234</v>
      </c>
      <c r="G157" s="2" t="s">
        <v>389</v>
      </c>
      <c r="H157" s="2">
        <v>7900856570</v>
      </c>
      <c r="I157" s="2"/>
      <c r="J157" s="2"/>
      <c r="K157" t="str">
        <f ca="1">VLOOKUP(B157,[1]Sheet14!$C:$I,7,0)</f>
        <v>Apollo Supply Chain Pvt Ltd</v>
      </c>
      <c r="M157" t="str">
        <f ca="1">VLOOKUP(B157,[1]Sheet14!$C:$J,8,0)</f>
        <v>mukesh.k@apollosupplychain.com</v>
      </c>
    </row>
    <row r="158" spans="1:13">
      <c r="A158">
        <v>157</v>
      </c>
      <c r="B158" s="2" t="s">
        <v>170</v>
      </c>
      <c r="C158" s="2" t="s">
        <v>193</v>
      </c>
      <c r="D158" t="str">
        <f ca="1">VLOOKUP(B158,[1]Sheet14!$C:$H,6,0)</f>
        <v>FMSC</v>
      </c>
      <c r="E158" s="2" t="s">
        <v>198</v>
      </c>
      <c r="F158" s="2" t="s">
        <v>215</v>
      </c>
      <c r="G158" s="2" t="s">
        <v>390</v>
      </c>
      <c r="H158" s="2">
        <v>9461045650</v>
      </c>
      <c r="I158" s="2" t="s">
        <v>533</v>
      </c>
      <c r="J158" s="2">
        <v>6393953757</v>
      </c>
      <c r="K158" t="str">
        <f ca="1">VLOOKUP(B158,[1]Sheet14!$C:$I,7,0)</f>
        <v>DP World Express Logistics Private Limited</v>
      </c>
      <c r="M158" t="str">
        <f ca="1">VLOOKUP(B158,[1]Sheet14!$C:$J,8,0)</f>
        <v>Sandip.Kumar@dpworld.com</v>
      </c>
    </row>
    <row r="159" spans="1:13">
      <c r="A159">
        <v>158</v>
      </c>
      <c r="B159" s="2" t="s">
        <v>171</v>
      </c>
      <c r="C159" s="2" t="s">
        <v>191</v>
      </c>
      <c r="D159" t="str">
        <f ca="1">VLOOKUP(B159,[1]Sheet14!$C:$H,6,0)</f>
        <v>FMSC</v>
      </c>
      <c r="E159" s="2" t="s">
        <v>195</v>
      </c>
      <c r="F159" s="2" t="s">
        <v>237</v>
      </c>
      <c r="G159" s="2" t="s">
        <v>391</v>
      </c>
      <c r="H159" s="2">
        <v>7867882166</v>
      </c>
      <c r="I159" s="2" t="s">
        <v>534</v>
      </c>
      <c r="J159" s="2">
        <v>8056200304</v>
      </c>
      <c r="K159" t="str">
        <f ca="1">VLOOKUP(B159,[1]Sheet14!$C:$I,7,0)</f>
        <v>NX Logistics India Pvt.Ltd.</v>
      </c>
      <c r="M159" t="str">
        <f ca="1">VLOOKUP(B159,[1]Sheet14!$C:$J,8,0)</f>
        <v>bharat.db@nipponexpress.com</v>
      </c>
    </row>
    <row r="160" spans="1:13">
      <c r="A160">
        <v>159</v>
      </c>
      <c r="B160" s="2" t="s">
        <v>172</v>
      </c>
      <c r="C160" s="2" t="s">
        <v>191</v>
      </c>
      <c r="D160" t="str">
        <f ca="1">VLOOKUP(B160,[1]Sheet14!$C:$H,6,0)</f>
        <v>Gateway</v>
      </c>
      <c r="E160" s="2" t="s">
        <v>195</v>
      </c>
      <c r="F160" s="2" t="s">
        <v>202</v>
      </c>
      <c r="G160" s="2" t="s">
        <v>392</v>
      </c>
      <c r="H160" s="2">
        <v>7867882166</v>
      </c>
      <c r="I160" s="2" t="s">
        <v>535</v>
      </c>
      <c r="J160" s="2">
        <v>7077134213</v>
      </c>
      <c r="K160" t="str">
        <f ca="1">VLOOKUP(B160,[1]Sheet14!$C:$I,7,0)</f>
        <v>Ntex Transportation Services Pvt Ltd.</v>
      </c>
      <c r="M160" t="str">
        <f ca="1">VLOOKUP(B160,[1]Sheet14!$C:$J,8,0)</f>
        <v>r.arjun@elastic.run</v>
      </c>
    </row>
    <row r="161" spans="1:13">
      <c r="A161">
        <v>160</v>
      </c>
      <c r="B161" s="2" t="s">
        <v>173</v>
      </c>
      <c r="C161" s="2" t="s">
        <v>193</v>
      </c>
      <c r="D161" t="str">
        <f ca="1">VLOOKUP(B161,[1]Sheet14!$C:$H,6,0)</f>
        <v>LMSC</v>
      </c>
      <c r="E161" s="2" t="s">
        <v>200</v>
      </c>
      <c r="F161" s="6" t="s">
        <v>246</v>
      </c>
      <c r="G161" s="2" t="s">
        <v>393</v>
      </c>
      <c r="H161" s="2">
        <v>6284219612</v>
      </c>
      <c r="I161" s="23" t="s">
        <v>536</v>
      </c>
      <c r="J161" s="23" t="s">
        <v>548</v>
      </c>
      <c r="K161" t="str">
        <f ca="1">VLOOKUP(B161,[1]Sheet14!$C:$I,7,0)</f>
        <v>FIRST CHOICE EXPRESS PRIVATE LIMITED</v>
      </c>
      <c r="M161" t="str">
        <f ca="1">VLOOKUP(B161,[1]Sheet14!$C:$J,8,0)</f>
        <v>prabhu.narayan@firstchoice.express,deepak.sharma@firstchoice.express</v>
      </c>
    </row>
    <row r="162" spans="1:13">
      <c r="A162">
        <v>161</v>
      </c>
      <c r="B162" s="4" t="s">
        <v>174</v>
      </c>
      <c r="C162" s="4" t="s">
        <v>192</v>
      </c>
      <c r="D162" t="str">
        <f ca="1">VLOOKUP(B162,[1]Sheet14!$C:$H,6,0)</f>
        <v>LMSC</v>
      </c>
      <c r="E162" s="4" t="s">
        <v>197</v>
      </c>
      <c r="F162" s="4" t="s">
        <v>217</v>
      </c>
      <c r="G162" s="4"/>
      <c r="H162" s="4"/>
      <c r="I162" s="4"/>
      <c r="J162" s="4"/>
      <c r="K162" t="str">
        <f ca="1">VLOOKUP(B162,[1]Sheet14!$C:$I,7,0)</f>
        <v>Progex Logistics Private Limited</v>
      </c>
      <c r="M162" t="str">
        <f ca="1">VLOOKUP(B162,[1]Sheet14!$C:$J,8,0)</f>
        <v>bikash.s@progex.in</v>
      </c>
    </row>
    <row r="163" spans="1:13">
      <c r="A163">
        <v>162</v>
      </c>
      <c r="B163" s="2" t="s">
        <v>175</v>
      </c>
      <c r="C163" s="2" t="s">
        <v>190</v>
      </c>
      <c r="D163" t="str">
        <f ca="1">VLOOKUP(B163,[1]Sheet14!$C:$H,6,0)</f>
        <v>FMSC</v>
      </c>
      <c r="E163" s="2" t="s">
        <v>196</v>
      </c>
      <c r="F163" s="2" t="s">
        <v>240</v>
      </c>
      <c r="G163" s="2" t="s">
        <v>394</v>
      </c>
      <c r="H163" s="2">
        <v>9653282698</v>
      </c>
      <c r="I163" s="2" t="s">
        <v>537</v>
      </c>
      <c r="J163" s="2">
        <v>8888947833</v>
      </c>
      <c r="K163" t="str">
        <f ca="1">VLOOKUP(B163,[1]Sheet14!$C:$I,7,0)</f>
        <v>DP World Express Logistics Private Limited</v>
      </c>
      <c r="M163" t="str">
        <f ca="1">VLOOKUP(B163,[1]Sheet14!$C:$J,8,0)</f>
        <v>balu.warghade@dpworld.com</v>
      </c>
    </row>
    <row r="164" spans="1:13">
      <c r="A164">
        <v>163</v>
      </c>
      <c r="B164" s="2" t="s">
        <v>176</v>
      </c>
      <c r="C164" s="2" t="s">
        <v>193</v>
      </c>
      <c r="D164" t="str">
        <f ca="1">VLOOKUP(B164,[1]Sheet14!$C:$H,6,0)</f>
        <v>Gateway</v>
      </c>
      <c r="E164" s="2" t="s">
        <v>199</v>
      </c>
      <c r="F164" s="2" t="s">
        <v>243</v>
      </c>
      <c r="G164" s="2" t="s">
        <v>395</v>
      </c>
      <c r="H164" s="2">
        <v>9649470393</v>
      </c>
      <c r="I164" s="2" t="s">
        <v>538</v>
      </c>
      <c r="J164" s="2">
        <v>9521734046</v>
      </c>
      <c r="K164" t="str">
        <f ca="1">VLOOKUP(B164,[1]Sheet14!$C:$I,7,0)</f>
        <v>FIRST CHOICE EXPRESS PRIVATE LIMITED</v>
      </c>
      <c r="M164" t="str">
        <f ca="1">VLOOKUP(B164,[1]Sheet14!$C:$J,8,0)</f>
        <v>contact.center@firstlogistic.in</v>
      </c>
    </row>
    <row r="165" spans="1:13">
      <c r="A165">
        <v>164</v>
      </c>
      <c r="B165" s="2" t="s">
        <v>177</v>
      </c>
      <c r="C165" s="2" t="s">
        <v>193</v>
      </c>
      <c r="D165" t="str">
        <f ca="1">VLOOKUP(B165,[1]Sheet14!$C:$H,6,0)</f>
        <v>FMSC</v>
      </c>
      <c r="E165" s="2" t="s">
        <v>198</v>
      </c>
      <c r="F165" s="2" t="s">
        <v>214</v>
      </c>
      <c r="G165" s="14" t="s">
        <v>396</v>
      </c>
      <c r="H165" s="2">
        <v>8745843744</v>
      </c>
      <c r="I165" s="2" t="s">
        <v>539</v>
      </c>
      <c r="J165" s="2">
        <v>6387278620</v>
      </c>
      <c r="K165" t="str">
        <f ca="1">VLOOKUP(B165,[1]Sheet14!$C:$I,7,0)</f>
        <v>CJDarcl India Pvt Ltd</v>
      </c>
      <c r="M165" t="str">
        <f ca="1">VLOOKUP(B165,[1]Sheet14!$C:$J,8,0)</f>
        <v>neeraj.bajaj@cjdarcl.com</v>
      </c>
    </row>
    <row r="166" spans="1:13">
      <c r="A166">
        <v>165</v>
      </c>
      <c r="B166" s="2" t="s">
        <v>178</v>
      </c>
      <c r="C166" s="2" t="s">
        <v>193</v>
      </c>
      <c r="D166" t="str">
        <f ca="1">VLOOKUP(B166,[1]Sheet14!$C:$H,6,0)</f>
        <v>Gateway</v>
      </c>
      <c r="E166" s="2" t="s">
        <v>200</v>
      </c>
      <c r="F166" s="2" t="s">
        <v>244</v>
      </c>
      <c r="G166" s="2" t="s">
        <v>397</v>
      </c>
      <c r="H166" s="2">
        <v>7899868644</v>
      </c>
      <c r="I166" s="2" t="s">
        <v>496</v>
      </c>
      <c r="J166" s="2">
        <v>8896214274</v>
      </c>
      <c r="K166" t="str">
        <f ca="1">VLOOKUP(B166,[1]Sheet14!$C:$I,7,0)</f>
        <v>Kapoor Diesels Garage Pvt. Ltd.</v>
      </c>
      <c r="M166" t="str">
        <f ca="1">VLOOKUP(B166,[1]Sheet14!$C:$J,8,0)</f>
        <v>manish.khanduja@kapoordiesels.com</v>
      </c>
    </row>
    <row r="167" spans="1:13">
      <c r="A167">
        <v>166</v>
      </c>
      <c r="B167" s="2" t="s">
        <v>179</v>
      </c>
      <c r="C167" s="2" t="s">
        <v>193</v>
      </c>
      <c r="D167" t="str">
        <f ca="1">VLOOKUP(B167,[1]Sheet14!$C:$H,6,0)</f>
        <v>FMSC</v>
      </c>
      <c r="E167" s="2" t="s">
        <v>200</v>
      </c>
      <c r="F167" s="2" t="s">
        <v>241</v>
      </c>
      <c r="G167" s="2" t="s">
        <v>398</v>
      </c>
      <c r="H167" s="2">
        <v>8448028290</v>
      </c>
      <c r="I167" s="2"/>
      <c r="J167" s="2"/>
      <c r="K167" t="str">
        <f ca="1">VLOOKUP(B167,[1]Sheet14!$C:$I,7,0)</f>
        <v>DeliveryPlus</v>
      </c>
      <c r="M167" t="str">
        <f ca="1">VLOOKUP(B167,[1]Sheet14!$C:$J,8,0)</f>
        <v>ranjeetsingh@deliveryplus.co.in</v>
      </c>
    </row>
    <row r="168" spans="1:13">
      <c r="A168">
        <v>167</v>
      </c>
      <c r="B168" s="2" t="s">
        <v>180</v>
      </c>
      <c r="C168" s="2" t="s">
        <v>190</v>
      </c>
      <c r="D168" t="str">
        <f ca="1">VLOOKUP(B168,[1]Sheet14!$C:$H,6,0)</f>
        <v>Gateway</v>
      </c>
      <c r="E168" s="2" t="s">
        <v>194</v>
      </c>
      <c r="F168" s="2" t="s">
        <v>233</v>
      </c>
      <c r="G168" s="2" t="s">
        <v>399</v>
      </c>
      <c r="H168" s="2">
        <v>8866206371</v>
      </c>
      <c r="I168" s="2" t="s">
        <v>295</v>
      </c>
      <c r="J168" s="2" t="s">
        <v>408</v>
      </c>
      <c r="K168" t="str">
        <f ca="1">VLOOKUP(B168,[1]Sheet14!$C:$I,7,0)</f>
        <v>FIBS Logistics India Private Limited</v>
      </c>
      <c r="M168" t="str">
        <f ca="1">VLOOKUP(B168,[1]Sheet14!$C:$J,8,0)</f>
        <v>peeyush.lal@fibs-logistics.com</v>
      </c>
    </row>
    <row r="169" spans="1:13">
      <c r="A169">
        <v>168</v>
      </c>
      <c r="B169" s="2" t="s">
        <v>181</v>
      </c>
      <c r="C169" s="2" t="s">
        <v>193</v>
      </c>
      <c r="D169" t="str">
        <f ca="1">VLOOKUP(B169,[1]Sheet14!$C:$H,6,0)</f>
        <v>LMSC</v>
      </c>
      <c r="E169" s="2" t="s">
        <v>200</v>
      </c>
      <c r="F169" s="2" t="s">
        <v>246</v>
      </c>
      <c r="G169" s="2" t="s">
        <v>346</v>
      </c>
      <c r="H169" s="2">
        <v>8901471039</v>
      </c>
      <c r="I169" s="2" t="s">
        <v>540</v>
      </c>
      <c r="J169" s="2">
        <v>9501875303</v>
      </c>
      <c r="K169" t="str">
        <f ca="1">VLOOKUP(B169,[1]Sheet14!$C:$I,7,0)</f>
        <v>CJDarcl India Pvt Ltd</v>
      </c>
      <c r="M169" t="str">
        <f ca="1">VLOOKUP(B169,[1]Sheet14!$C:$J,8,0)</f>
        <v>neeraj.bajaj@cjdarcl.com</v>
      </c>
    </row>
    <row r="170" spans="1:13">
      <c r="A170">
        <v>169</v>
      </c>
      <c r="B170" s="2" t="s">
        <v>182</v>
      </c>
      <c r="C170" s="2" t="s">
        <v>190</v>
      </c>
      <c r="D170" t="str">
        <f ca="1">VLOOKUP(B170,[1]Sheet14!$C:$H,6,0)</f>
        <v>Gateway</v>
      </c>
      <c r="E170" s="2" t="s">
        <v>196</v>
      </c>
      <c r="F170" s="2" t="s">
        <v>240</v>
      </c>
      <c r="G170" s="2" t="s">
        <v>400</v>
      </c>
      <c r="H170" s="2">
        <v>9021190556</v>
      </c>
      <c r="I170" s="2"/>
      <c r="J170" s="2"/>
      <c r="K170" t="str">
        <f ca="1">VLOOKUP(B170,[1]Sheet14!$C:$I,7,0)</f>
        <v>Baba Express</v>
      </c>
      <c r="M170" t="str">
        <f ca="1">VLOOKUP(B170,[1]Sheet14!$C:$J,8,0)</f>
        <v>pragnesh.desai@babaexpress.in</v>
      </c>
    </row>
    <row r="171" spans="1:13">
      <c r="A171">
        <v>170</v>
      </c>
      <c r="B171" s="2" t="s">
        <v>183</v>
      </c>
      <c r="C171" s="2" t="s">
        <v>190</v>
      </c>
      <c r="D171" t="str">
        <f ca="1">VLOOKUP(B171,[1]Sheet14!$C:$H,6,0)</f>
        <v>Gateway</v>
      </c>
      <c r="E171" s="2" t="s">
        <v>196</v>
      </c>
      <c r="F171" s="2" t="s">
        <v>226</v>
      </c>
      <c r="G171" s="2" t="s">
        <v>401</v>
      </c>
      <c r="H171" s="2">
        <v>9923610103</v>
      </c>
      <c r="I171" s="2" t="s">
        <v>450</v>
      </c>
      <c r="J171" s="2">
        <v>7875979020</v>
      </c>
      <c r="K171" t="str">
        <f ca="1">VLOOKUP(B171,[1]Sheet14!$C:$I,7,0)</f>
        <v>Loadshare Network Pvt Ltd</v>
      </c>
      <c r="M171" t="str">
        <f ca="1">VLOOKUP(B171,[1]Sheet14!$C:$J,8,0)</f>
        <v>kumar.deepak@loadshare.net</v>
      </c>
    </row>
    <row r="172" spans="1:13">
      <c r="A172">
        <v>171</v>
      </c>
      <c r="B172" s="2" t="s">
        <v>184</v>
      </c>
      <c r="C172" s="2" t="s">
        <v>190</v>
      </c>
      <c r="D172" t="str">
        <f ca="1">VLOOKUP(B172,[1]Sheet14!$C:$H,6,0)</f>
        <v>Gateway</v>
      </c>
      <c r="E172" s="2" t="s">
        <v>194</v>
      </c>
      <c r="F172" s="2" t="s">
        <v>201</v>
      </c>
      <c r="G172" s="2" t="s">
        <v>401</v>
      </c>
      <c r="H172" s="2" t="s">
        <v>415</v>
      </c>
      <c r="I172" s="2"/>
      <c r="J172" s="2"/>
      <c r="K172" t="str">
        <f ca="1">VLOOKUP(B172,[1]Sheet14!$C:$I,7,0)</f>
        <v>SHREE VASU LOGISTICS LTD</v>
      </c>
      <c r="M172" t="str">
        <f ca="1">VLOOKUP(B172,[1]Sheet14!$C:$J,8,0)</f>
        <v>ar@shreevasulogistics.com</v>
      </c>
    </row>
    <row r="173" spans="1:13">
      <c r="A173">
        <v>172</v>
      </c>
      <c r="B173" s="2" t="s">
        <v>185</v>
      </c>
      <c r="C173" s="2" t="s">
        <v>190</v>
      </c>
      <c r="D173" t="str">
        <f ca="1">VLOOKUP(B173,[1]Sheet14!$C:$H,6,0)</f>
        <v>LMSC</v>
      </c>
      <c r="E173" s="2" t="s">
        <v>196</v>
      </c>
      <c r="F173" s="2" t="s">
        <v>206</v>
      </c>
      <c r="G173" s="2" t="s">
        <v>402</v>
      </c>
      <c r="H173" s="2">
        <v>9301528602</v>
      </c>
      <c r="I173" s="2" t="s">
        <v>541</v>
      </c>
      <c r="J173" s="2">
        <v>8483900198</v>
      </c>
      <c r="K173" t="str">
        <f ca="1">VLOOKUP(B173,[1]Sheet14!$C:$I,7,0)</f>
        <v>Loadshare Network Pvt Ltd</v>
      </c>
      <c r="M173" t="str">
        <f ca="1">VLOOKUP(B173,[1]Sheet14!$C:$J,8,0)</f>
        <v>kumar.deepak@loadshare.net</v>
      </c>
    </row>
    <row r="174" spans="1:13">
      <c r="A174">
        <v>173</v>
      </c>
      <c r="B174" s="2" t="s">
        <v>186</v>
      </c>
      <c r="C174" s="2" t="s">
        <v>192</v>
      </c>
      <c r="D174" t="str">
        <f ca="1">VLOOKUP(B174,[1]Sheet14!$C:$H,6,0)</f>
        <v>FMSC</v>
      </c>
      <c r="E174" s="2" t="s">
        <v>197</v>
      </c>
      <c r="F174" s="2" t="s">
        <v>218</v>
      </c>
      <c r="G174" s="2" t="s">
        <v>269</v>
      </c>
      <c r="H174" s="2">
        <v>6294745548</v>
      </c>
      <c r="I174" s="2" t="s">
        <v>434</v>
      </c>
      <c r="J174" s="2" t="s">
        <v>543</v>
      </c>
      <c r="K174" t="str">
        <f ca="1">VLOOKUP(B174,[1]Sheet14!$C:$I,7,0)</f>
        <v>Pranik Logistics Limited</v>
      </c>
      <c r="M174" t="str">
        <f ca="1">VLOOKUP(B174,[1]Sheet14!$C:$J,8,0)</f>
        <v>as@pranikgroup.com</v>
      </c>
    </row>
    <row r="175" spans="1:13">
      <c r="A175">
        <v>174</v>
      </c>
      <c r="B175" s="2" t="s">
        <v>187</v>
      </c>
      <c r="C175" s="2" t="s">
        <v>190</v>
      </c>
      <c r="D175" t="str">
        <f ca="1">VLOOKUP(B175,[1]Sheet14!$C:$H,6,0)</f>
        <v>FMSC</v>
      </c>
      <c r="E175" s="2" t="s">
        <v>196</v>
      </c>
      <c r="F175" s="2" t="s">
        <v>220</v>
      </c>
      <c r="G175" s="2" t="s">
        <v>403</v>
      </c>
      <c r="H175" s="2">
        <v>9898715522</v>
      </c>
      <c r="I175" s="2"/>
      <c r="J175" s="2"/>
      <c r="K175" t="str">
        <f ca="1">VLOOKUP(B175,[1]Sheet14!$C:$I,7,0)</f>
        <v>Gotek Logistics Private Limited</v>
      </c>
      <c r="M175" t="str">
        <f ca="1">VLOOKUP(B175,[1]Sheet14!$C:$J,8,0)</f>
        <v>prashanth.b@isalogistics.in</v>
      </c>
    </row>
    <row r="176" spans="1:13">
      <c r="A176">
        <v>175</v>
      </c>
      <c r="B176" s="2" t="s">
        <v>188</v>
      </c>
      <c r="C176" s="2" t="s">
        <v>190</v>
      </c>
      <c r="D176" t="str">
        <f ca="1">VLOOKUP(B176,[1]Sheet14!$C:$H,6,0)</f>
        <v>LMSC</v>
      </c>
      <c r="E176" s="2" t="s">
        <v>196</v>
      </c>
      <c r="F176" s="2" t="s">
        <v>247</v>
      </c>
      <c r="G176" s="2" t="s">
        <v>306</v>
      </c>
      <c r="H176" s="2">
        <v>8429844413</v>
      </c>
      <c r="I176" s="2" t="s">
        <v>542</v>
      </c>
      <c r="J176" s="2">
        <v>8959620999</v>
      </c>
      <c r="K176" t="str">
        <f ca="1">VLOOKUP(B176,[1]Sheet14!$C:$I,7,0)</f>
        <v>SHREE VASU LOGISTICS LTD</v>
      </c>
      <c r="M176" t="str">
        <f ca="1">VLOOKUP(B176,[1]Sheet14!$C:$J,8,0)</f>
        <v>ar@shreevasulogistics.com</v>
      </c>
    </row>
    <row r="177" spans="1:13">
      <c r="A177">
        <v>176</v>
      </c>
      <c r="B177" s="2" t="s">
        <v>189</v>
      </c>
      <c r="C177" s="2" t="s">
        <v>190</v>
      </c>
      <c r="D177" t="str">
        <f ca="1">VLOOKUP(B177,[1]Sheet14!$C:$H,6,0)</f>
        <v>LMSC</v>
      </c>
      <c r="E177" s="2" t="s">
        <v>196</v>
      </c>
      <c r="F177" s="2" t="s">
        <v>204</v>
      </c>
      <c r="G177" s="2" t="s">
        <v>252</v>
      </c>
      <c r="H177" s="2">
        <v>8888726472</v>
      </c>
      <c r="I177" s="2" t="s">
        <v>419</v>
      </c>
      <c r="J177" s="2">
        <v>7738879336</v>
      </c>
      <c r="K177" t="str">
        <f ca="1">VLOOKUP(B177,[1]Sheet14!$C:$I,7,0)</f>
        <v>Sar Logistics</v>
      </c>
      <c r="M177" t="str">
        <f ca="1">VLOOKUP(B177,[1]Sheet14!$C:$J,8,0)</f>
        <v>pratik.gupta@sarlogisolutions.com</v>
      </c>
    </row>
    <row r="178" spans="1:13">
      <c r="A178">
        <v>177</v>
      </c>
      <c r="B178" s="27" t="s">
        <v>14</v>
      </c>
      <c r="C178" s="27" t="s">
        <v>190</v>
      </c>
      <c r="D178" t="str">
        <f ca="1">VLOOKUP(B178,[1]Sheet14!$C:$H,6,0)</f>
        <v>LMSC</v>
      </c>
      <c r="E178" s="27" t="s">
        <v>194</v>
      </c>
      <c r="F178" s="27" t="s">
        <v>201</v>
      </c>
      <c r="G178" s="27" t="s">
        <v>551</v>
      </c>
      <c r="H178" s="27">
        <v>9078961625</v>
      </c>
      <c r="I178" s="27" t="s">
        <v>249</v>
      </c>
      <c r="J178" s="27">
        <v>9173700204</v>
      </c>
      <c r="K178" t="str">
        <f ca="1">VLOOKUP(B178,[1]Sheet14!$C:$I,7,0)</f>
        <v>Shree Maruti Integrated Logistics Limited</v>
      </c>
      <c r="M178" t="str">
        <f ca="1">VLOOKUP(B178,[1]Sheet14!$C:$J,8,0)</f>
        <v xml:space="preserve">chandan.k@shreemaruti.com </v>
      </c>
    </row>
    <row r="179" spans="1:13">
      <c r="A179">
        <v>178</v>
      </c>
      <c r="B179" s="27" t="s">
        <v>15</v>
      </c>
      <c r="C179" s="27" t="s">
        <v>191</v>
      </c>
      <c r="D179" t="str">
        <f ca="1">VLOOKUP(B179,[1]Sheet14!$C:$H,6,0)</f>
        <v>LMSC</v>
      </c>
      <c r="E179" s="27" t="s">
        <v>195</v>
      </c>
      <c r="F179" s="27" t="s">
        <v>202</v>
      </c>
      <c r="G179" s="27" t="s">
        <v>250</v>
      </c>
      <c r="H179" s="27" t="s">
        <v>404</v>
      </c>
      <c r="I179" s="27" t="s">
        <v>568</v>
      </c>
      <c r="J179" s="27">
        <v>9035697118</v>
      </c>
      <c r="K179" t="str">
        <f ca="1">VLOOKUP(B179,[1]Sheet14!$C:$I,7,0)</f>
        <v>Allcargo Supply Chain Pvt. Ltd.</v>
      </c>
      <c r="M179" t="str">
        <f ca="1">VLOOKUP(B179,[1]Sheet14!$C:$J,8,0)</f>
        <v>Mohan.gowda@allcargosupplychain.com</v>
      </c>
    </row>
    <row r="180" spans="1:13">
      <c r="A180">
        <v>179</v>
      </c>
      <c r="B180" s="27" t="s">
        <v>16</v>
      </c>
      <c r="C180" s="27" t="s">
        <v>191</v>
      </c>
      <c r="D180" t="str">
        <f ca="1">VLOOKUP(B180,[1]Sheet14!$C:$H,6,0)</f>
        <v>Hybrid</v>
      </c>
      <c r="E180" s="27" t="s">
        <v>195</v>
      </c>
      <c r="F180" s="27" t="s">
        <v>202</v>
      </c>
      <c r="G180" s="27" t="s">
        <v>552</v>
      </c>
      <c r="H180" s="27">
        <v>7894273882</v>
      </c>
      <c r="I180" s="27" t="s">
        <v>418</v>
      </c>
      <c r="J180" s="27">
        <v>9164532362</v>
      </c>
      <c r="K180" t="str">
        <f ca="1">VLOOKUP(B180,[1]Sheet14!$C:$I,7,0)</f>
        <v>YCH Logistics (I) Pvt Ltd</v>
      </c>
      <c r="M180" t="str">
        <f ca="1">VLOOKUP(B180,[1]Sheet14!$C:$J,8,0)</f>
        <v>srinivas.g@ych.com</v>
      </c>
    </row>
    <row r="181" spans="1:13">
      <c r="A181">
        <v>180</v>
      </c>
      <c r="B181" s="27" t="s">
        <v>17</v>
      </c>
      <c r="C181" s="27" t="s">
        <v>190</v>
      </c>
      <c r="D181" t="str">
        <f ca="1">VLOOKUP(B181,[1]Sheet14!$C:$H,6,0)</f>
        <v>LMSC</v>
      </c>
      <c r="E181" s="27" t="s">
        <v>549</v>
      </c>
      <c r="F181" s="27" t="s">
        <v>204</v>
      </c>
      <c r="G181" s="27" t="s">
        <v>252</v>
      </c>
      <c r="H181" s="27">
        <v>8888726472</v>
      </c>
      <c r="I181" s="27" t="s">
        <v>419</v>
      </c>
      <c r="J181" s="27">
        <v>7738879336</v>
      </c>
      <c r="K181" t="str">
        <f ca="1">VLOOKUP(B181,[1]Sheet14!$C:$I,7,0)</f>
        <v>Allcargo Supply Chain Pvt. Ltd.</v>
      </c>
      <c r="M181" t="str">
        <f ca="1">VLOOKUP(B181,[1]Sheet14!$C:$J,8,0)</f>
        <v>ANS_63223@allcargologistics.com</v>
      </c>
    </row>
    <row r="182" spans="1:13">
      <c r="A182">
        <v>181</v>
      </c>
      <c r="B182" s="27" t="s">
        <v>18</v>
      </c>
      <c r="C182" s="28" t="s">
        <v>190</v>
      </c>
      <c r="D182" t="str">
        <f ca="1">VLOOKUP(B182,[1]Sheet14!$C:$H,6,0)</f>
        <v>FMSC</v>
      </c>
      <c r="E182" s="27" t="s">
        <v>549</v>
      </c>
      <c r="F182" s="27" t="s">
        <v>205</v>
      </c>
      <c r="G182" s="27" t="s">
        <v>253</v>
      </c>
      <c r="H182" s="27">
        <v>7767908097</v>
      </c>
      <c r="I182" s="27" t="s">
        <v>420</v>
      </c>
      <c r="J182" s="27">
        <v>9922621942</v>
      </c>
      <c r="K182" t="str">
        <f ca="1">VLOOKUP(B182,[1]Sheet14!$C:$I,7,0)</f>
        <v>CJDarcl India Pvt Ltd</v>
      </c>
      <c r="M182" t="str">
        <f ca="1">VLOOKUP(B182,[1]Sheet14!$C:$J,8,0)</f>
        <v xml:space="preserve">imtiyaz.alam@cjdarcl.com </v>
      </c>
    </row>
    <row r="183" spans="1:13">
      <c r="A183">
        <v>182</v>
      </c>
      <c r="B183" s="27" t="s">
        <v>19</v>
      </c>
      <c r="C183" s="27" t="s">
        <v>190</v>
      </c>
      <c r="D183" t="str">
        <f ca="1">VLOOKUP(B183,[1]Sheet14!$C:$H,6,0)</f>
        <v>LMSC</v>
      </c>
      <c r="E183" s="27" t="s">
        <v>549</v>
      </c>
      <c r="F183" s="27" t="s">
        <v>206</v>
      </c>
      <c r="G183" s="27" t="s">
        <v>254</v>
      </c>
      <c r="H183" s="27">
        <v>8591085838</v>
      </c>
      <c r="I183" s="27" t="s">
        <v>421</v>
      </c>
      <c r="J183" s="27">
        <v>8483900198</v>
      </c>
      <c r="K183" t="str">
        <f ca="1">VLOOKUP(B183,[1]Sheet14!$C:$I,7,0)</f>
        <v>Allcargo Supply Chain Pvt. Ltd.</v>
      </c>
      <c r="M183" t="str">
        <f ca="1">VLOOKUP(B183,[1]Sheet14!$C:$J,8,0)</f>
        <v>bhsops@allcargologisticsltd.onmicrosoft.com</v>
      </c>
    </row>
    <row r="184" spans="1:13">
      <c r="A184">
        <v>183</v>
      </c>
      <c r="B184" s="27" t="s">
        <v>22</v>
      </c>
      <c r="C184" s="27" t="s">
        <v>191</v>
      </c>
      <c r="D184" t="str">
        <f ca="1">VLOOKUP(B184,[1]Sheet14!$C:$H,6,0)</f>
        <v>LMSC</v>
      </c>
      <c r="E184" s="27" t="s">
        <v>195</v>
      </c>
      <c r="F184" s="27" t="s">
        <v>208</v>
      </c>
      <c r="G184" s="27" t="s">
        <v>257</v>
      </c>
      <c r="H184" s="27">
        <v>6385797985</v>
      </c>
      <c r="I184" s="27" t="s">
        <v>424</v>
      </c>
      <c r="J184" s="27">
        <v>9360681063</v>
      </c>
      <c r="K184" t="str">
        <f ca="1">VLOOKUP(B184,[1]Sheet14!$C:$I,7,0)</f>
        <v>Mahindra Logistics Limited</v>
      </c>
      <c r="M184" t="str">
        <f ca="1">VLOOKUP(B184,[1]Sheet14!$C:$J,8,0)</f>
        <v>mll-chennai-mrs@mahindralogistics.com</v>
      </c>
    </row>
    <row r="185" spans="1:13">
      <c r="A185">
        <v>184</v>
      </c>
      <c r="B185" s="27" t="s">
        <v>26</v>
      </c>
      <c r="C185" s="27" t="s">
        <v>191</v>
      </c>
      <c r="D185" t="str">
        <f ca="1">VLOOKUP(B185,[1]Sheet14!$C:$H,6,0)</f>
        <v>LMSC</v>
      </c>
      <c r="E185" s="27" t="s">
        <v>195</v>
      </c>
      <c r="F185" s="27" t="s">
        <v>203</v>
      </c>
      <c r="G185" s="27" t="s">
        <v>261</v>
      </c>
      <c r="H185" s="27" t="s">
        <v>405</v>
      </c>
      <c r="I185" s="27" t="s">
        <v>427</v>
      </c>
      <c r="J185" s="27">
        <v>9513666556</v>
      </c>
      <c r="K185" t="str">
        <f ca="1">VLOOKUP(B185,[1]Sheet14!$C:$I,7,0)</f>
        <v>Warehouse Now</v>
      </c>
      <c r="M185" t="str">
        <f ca="1">VLOOKUP(B185,[1]Sheet14!$C:$J,8,0)</f>
        <v>Ujienamartin@warehousenow.in</v>
      </c>
    </row>
    <row r="186" spans="1:13">
      <c r="A186">
        <v>185</v>
      </c>
      <c r="B186" s="27" t="s">
        <v>38</v>
      </c>
      <c r="C186" s="27" t="s">
        <v>191</v>
      </c>
      <c r="D186" t="str">
        <f ca="1">VLOOKUP(B186,[1]Sheet14!$C:$H,6,0)</f>
        <v>LMSC</v>
      </c>
      <c r="E186" s="27" t="s">
        <v>195</v>
      </c>
      <c r="F186" s="27" t="s">
        <v>219</v>
      </c>
      <c r="G186" s="27" t="s">
        <v>270</v>
      </c>
      <c r="H186" s="27">
        <v>7981426204</v>
      </c>
      <c r="I186" s="27" t="s">
        <v>435</v>
      </c>
      <c r="J186" s="27">
        <v>9966153878</v>
      </c>
      <c r="K186" t="str">
        <f ca="1">VLOOKUP(B186,[1]Sheet14!$C:$I,7,0)</f>
        <v>Allcargo Supply Chain Pvt. Ltd.</v>
      </c>
      <c r="M186" t="str">
        <f ca="1">VLOOKUP(B186,[1]Sheet14!$C:$J,8,0)</f>
        <v>pilligundla.murari@allcargosupplychain.com</v>
      </c>
    </row>
    <row r="187" spans="1:13">
      <c r="A187">
        <v>186</v>
      </c>
      <c r="B187" s="27" t="s">
        <v>39</v>
      </c>
      <c r="C187" s="27" t="s">
        <v>190</v>
      </c>
      <c r="D187" t="str">
        <f ca="1">VLOOKUP(B187,[1]Sheet14!$C:$H,6,0)</f>
        <v>LMSC</v>
      </c>
      <c r="E187" s="27" t="s">
        <v>549</v>
      </c>
      <c r="F187" s="27" t="s">
        <v>206</v>
      </c>
      <c r="G187" s="27" t="s">
        <v>271</v>
      </c>
      <c r="H187" s="27">
        <v>7378792307</v>
      </c>
      <c r="I187" s="27" t="s">
        <v>436</v>
      </c>
      <c r="J187" s="27">
        <v>7999541157</v>
      </c>
      <c r="K187" t="str">
        <f ca="1">VLOOKUP(B187,[1]Sheet14!$C:$I,7,0)</f>
        <v>SHREE VASU LOGISTICS LTD</v>
      </c>
      <c r="M187" t="str">
        <f ca="1">VLOOKUP(B187,[1]Sheet14!$C:$J,8,0)</f>
        <v>warehouseincharge@shreevasulogistics.com</v>
      </c>
    </row>
    <row r="188" spans="1:13">
      <c r="A188">
        <v>187</v>
      </c>
      <c r="B188" s="27" t="s">
        <v>40</v>
      </c>
      <c r="C188" s="27" t="s">
        <v>190</v>
      </c>
      <c r="D188" t="str">
        <f ca="1">VLOOKUP(B188,[1]Sheet14!$C:$H,6,0)</f>
        <v>FMSC</v>
      </c>
      <c r="E188" s="27" t="s">
        <v>549</v>
      </c>
      <c r="F188" s="27" t="s">
        <v>550</v>
      </c>
      <c r="G188" s="29" t="s">
        <v>553</v>
      </c>
      <c r="H188" s="27">
        <v>9782937212</v>
      </c>
      <c r="I188" s="29" t="s">
        <v>569</v>
      </c>
      <c r="J188" s="27">
        <v>6376369461</v>
      </c>
      <c r="K188" t="str">
        <f ca="1">VLOOKUP(B188,[1]Sheet14!$C:$I,7,0)</f>
        <v>Mahindra Logistics Limited</v>
      </c>
      <c r="M188" t="str">
        <f ca="1">VLOOKUP(B188,[1]Sheet14!$C:$J,8,0)</f>
        <v>BAIRWA.SHISHUPAL@mahindralogistics.com</v>
      </c>
    </row>
    <row r="189" spans="1:13">
      <c r="A189">
        <v>188</v>
      </c>
      <c r="B189" s="27" t="s">
        <v>41</v>
      </c>
      <c r="C189" s="27" t="s">
        <v>190</v>
      </c>
      <c r="D189" t="str">
        <f ca="1">VLOOKUP(B189,[1]Sheet14!$C:$H,6,0)</f>
        <v>LMSC</v>
      </c>
      <c r="E189" s="27" t="s">
        <v>549</v>
      </c>
      <c r="F189" s="27" t="s">
        <v>220</v>
      </c>
      <c r="G189" s="30" t="s">
        <v>273</v>
      </c>
      <c r="H189" s="27">
        <v>6352662236</v>
      </c>
      <c r="I189" s="30" t="s">
        <v>570</v>
      </c>
      <c r="J189" s="27">
        <v>8875804410</v>
      </c>
      <c r="K189" t="str">
        <f ca="1">VLOOKUP(B189,[1]Sheet14!$C:$I,7,0)</f>
        <v>Patliputra Logistics Private Limited</v>
      </c>
      <c r="M189" t="str">
        <f ca="1">VLOOKUP(B189,[1]Sheet14!$C:$J,8,0)</f>
        <v>manoj.verma@patliputralogistics.com</v>
      </c>
    </row>
    <row r="190" spans="1:13">
      <c r="A190">
        <v>189</v>
      </c>
      <c r="B190" s="27" t="s">
        <v>42</v>
      </c>
      <c r="C190" s="27" t="s">
        <v>190</v>
      </c>
      <c r="D190" t="str">
        <f ca="1">VLOOKUP(B190,[1]Sheet14!$C:$H,6,0)</f>
        <v>FMSC</v>
      </c>
      <c r="E190" s="27" t="s">
        <v>549</v>
      </c>
      <c r="F190" s="27" t="s">
        <v>221</v>
      </c>
      <c r="G190" s="27" t="s">
        <v>274</v>
      </c>
      <c r="H190" s="27">
        <v>9358389188</v>
      </c>
      <c r="I190" s="34" t="s">
        <v>571</v>
      </c>
      <c r="J190" s="27"/>
      <c r="K190" t="str">
        <f ca="1">VLOOKUP(B190,[1]Sheet14!$C:$I,7,0)</f>
        <v>DP World Express Logistics Private Limited</v>
      </c>
      <c r="M190" t="str">
        <f ca="1">VLOOKUP(B190,[1]Sheet14!$C:$J,8,0)</f>
        <v>pawan.yadav@dpworld.com</v>
      </c>
    </row>
    <row r="191" spans="1:13">
      <c r="A191">
        <v>190</v>
      </c>
      <c r="B191" s="27" t="s">
        <v>43</v>
      </c>
      <c r="C191" s="27" t="s">
        <v>190</v>
      </c>
      <c r="D191" t="str">
        <f ca="1">VLOOKUP(B191,[1]Sheet14!$C:$H,6,0)</f>
        <v>FMSC</v>
      </c>
      <c r="E191" s="27" t="s">
        <v>549</v>
      </c>
      <c r="F191" s="27" t="s">
        <v>220</v>
      </c>
      <c r="G191" s="27" t="s">
        <v>437</v>
      </c>
      <c r="H191" s="27">
        <v>9650365405</v>
      </c>
      <c r="I191" s="27"/>
      <c r="J191" s="27"/>
      <c r="K191" t="str">
        <f ca="1">VLOOKUP(B191,[1]Sheet14!$C:$I,7,0)</f>
        <v>XpressBees</v>
      </c>
      <c r="M191" t="str">
        <f ca="1">VLOOKUP(B191,[1]Sheet14!$C:$J,8,0)</f>
        <v>manish.pandey1@xpressbees.com</v>
      </c>
    </row>
    <row r="192" spans="1:13">
      <c r="A192">
        <v>191</v>
      </c>
      <c r="B192" s="27" t="s">
        <v>44</v>
      </c>
      <c r="C192" s="27" t="s">
        <v>190</v>
      </c>
      <c r="D192" t="str">
        <f ca="1">VLOOKUP(B192,[1]Sheet14!$C:$H,6,0)</f>
        <v>LMSC</v>
      </c>
      <c r="E192" s="27" t="s">
        <v>549</v>
      </c>
      <c r="F192" s="27" t="s">
        <v>550</v>
      </c>
      <c r="G192" s="27" t="s">
        <v>554</v>
      </c>
      <c r="H192" s="27">
        <v>8441892951</v>
      </c>
      <c r="I192" s="27" t="s">
        <v>275</v>
      </c>
      <c r="J192" s="27">
        <v>8952933305</v>
      </c>
      <c r="K192" t="str">
        <f ca="1">VLOOKUP(B192,[1]Sheet14!$C:$I,7,0)</f>
        <v>SHREE VASU LOGISTICS LTD</v>
      </c>
      <c r="M192" t="str">
        <f ca="1">VLOOKUP(B192,[1]Sheet14!$C:$J,8,0)</f>
        <v>mukesh@shreevasulogistics.com</v>
      </c>
    </row>
    <row r="193" spans="1:13">
      <c r="A193">
        <v>192</v>
      </c>
      <c r="B193" s="27" t="s">
        <v>46</v>
      </c>
      <c r="C193" s="27" t="s">
        <v>191</v>
      </c>
      <c r="D193" t="str">
        <f ca="1">VLOOKUP(B193,[1]Sheet14!$C:$H,6,0)</f>
        <v>LMSC</v>
      </c>
      <c r="E193" s="27" t="s">
        <v>195</v>
      </c>
      <c r="F193" s="27" t="s">
        <v>223</v>
      </c>
      <c r="G193" s="27" t="s">
        <v>475</v>
      </c>
      <c r="H193" s="27">
        <v>8136801238</v>
      </c>
      <c r="K193" t="str">
        <f ca="1">VLOOKUP(B193,[1]Sheet14!$C:$I,7,0)</f>
        <v>Shree Maruti Integrated Logistics Limited</v>
      </c>
      <c r="M193" t="str">
        <f ca="1">VLOOKUP(B193,[1]Sheet14!$C:$J,8,0)</f>
        <v xml:space="preserve">bhupendra.singh@shreemaruti.com </v>
      </c>
    </row>
    <row r="194" spans="1:13">
      <c r="A194">
        <v>193</v>
      </c>
      <c r="B194" s="27" t="s">
        <v>53</v>
      </c>
      <c r="C194" s="27" t="s">
        <v>190</v>
      </c>
      <c r="D194" t="str">
        <f ca="1">VLOOKUP(B194,[1]Sheet14!$C:$H,6,0)</f>
        <v>LMSC</v>
      </c>
      <c r="E194" s="27" t="s">
        <v>549</v>
      </c>
      <c r="F194" s="27" t="s">
        <v>226</v>
      </c>
      <c r="G194" s="30" t="s">
        <v>555</v>
      </c>
      <c r="H194" s="27" t="s">
        <v>407</v>
      </c>
      <c r="I194" s="30" t="s">
        <v>448</v>
      </c>
      <c r="J194" s="27">
        <v>8329814688</v>
      </c>
      <c r="K194" t="str">
        <f ca="1">VLOOKUP(B194,[1]Sheet14!$C:$I,7,0)</f>
        <v>Gotek Logistics Private Limited</v>
      </c>
      <c r="M194" t="str">
        <f ca="1">VLOOKUP(B194,[1]Sheet14!$C:$J,8,0)</f>
        <v>prashanth.b@isalogistics.in</v>
      </c>
    </row>
    <row r="195" spans="1:13">
      <c r="A195">
        <v>194</v>
      </c>
      <c r="B195" s="27" t="s">
        <v>56</v>
      </c>
      <c r="C195" s="27" t="s">
        <v>190</v>
      </c>
      <c r="D195" t="str">
        <f ca="1">VLOOKUP(B195,[1]Sheet14!$C:$H,6,0)</f>
        <v>LMSC</v>
      </c>
      <c r="E195" s="27" t="s">
        <v>549</v>
      </c>
      <c r="F195" s="27" t="s">
        <v>226</v>
      </c>
      <c r="G195" s="27" t="s">
        <v>283</v>
      </c>
      <c r="H195" s="27">
        <v>7020038407</v>
      </c>
      <c r="I195" s="27" t="s">
        <v>450</v>
      </c>
      <c r="J195" s="27">
        <v>7875979020</v>
      </c>
      <c r="K195" t="str">
        <f ca="1">VLOOKUP(B195,[1]Sheet14!$C:$I,7,0)</f>
        <v>Mahindra Logistics Limited</v>
      </c>
      <c r="M195" t="str">
        <f ca="1">VLOOKUP(B195,[1]Sheet14!$C:$J,8,0)</f>
        <v>MLL-Nagpur-Ngp@mahindralogistics.com</v>
      </c>
    </row>
    <row r="196" spans="1:13">
      <c r="A196">
        <v>195</v>
      </c>
      <c r="B196" s="27" t="s">
        <v>57</v>
      </c>
      <c r="C196" s="27" t="s">
        <v>190</v>
      </c>
      <c r="D196" t="str">
        <f ca="1">VLOOKUP(B196,[1]Sheet14!$C:$H,6,0)</f>
        <v>FMSC</v>
      </c>
      <c r="E196" s="27" t="s">
        <v>194</v>
      </c>
      <c r="F196" s="27" t="s">
        <v>229</v>
      </c>
      <c r="G196" s="27" t="s">
        <v>285</v>
      </c>
      <c r="H196" s="27">
        <v>9243766994</v>
      </c>
      <c r="I196" s="27" t="s">
        <v>451</v>
      </c>
      <c r="J196" s="35">
        <v>8626930962</v>
      </c>
      <c r="K196" t="str">
        <f ca="1">VLOOKUP(B196,[1]Sheet14!$C:$I,7,0)</f>
        <v>FIBS Logistics India Private Limited</v>
      </c>
      <c r="M196" t="str">
        <f ca="1">VLOOKUP(B196,[1]Sheet14!$C:$J,8,0)</f>
        <v xml:space="preserve">rajesh.maurya@fibs-logistics.com </v>
      </c>
    </row>
    <row r="197" spans="1:13">
      <c r="A197">
        <v>196</v>
      </c>
      <c r="B197" s="27" t="s">
        <v>63</v>
      </c>
      <c r="C197" s="27" t="s">
        <v>190</v>
      </c>
      <c r="D197" t="str">
        <f ca="1">VLOOKUP(B197,[1]Sheet14!$C:$H,6,0)</f>
        <v>FMSC</v>
      </c>
      <c r="E197" s="27" t="s">
        <v>194</v>
      </c>
      <c r="F197" s="27" t="s">
        <v>196</v>
      </c>
      <c r="G197" s="27" t="s">
        <v>556</v>
      </c>
      <c r="H197" s="27">
        <v>9867382285</v>
      </c>
      <c r="I197" s="27" t="s">
        <v>459</v>
      </c>
      <c r="J197" s="27">
        <v>8605181293</v>
      </c>
      <c r="K197" t="str">
        <f ca="1">VLOOKUP(B197,[1]Sheet14!$C:$I,7,0)</f>
        <v>Stellar Value Chain Solutions Private Limited</v>
      </c>
      <c r="M197" t="str">
        <f ca="1">VLOOKUP(B197,[1]Sheet14!$C:$J,8,0)</f>
        <v>vijaykumar.solanki@cevalogistics.com</v>
      </c>
    </row>
    <row r="198" spans="1:13">
      <c r="A198">
        <v>197</v>
      </c>
      <c r="B198" s="27" t="s">
        <v>64</v>
      </c>
      <c r="C198" s="27" t="s">
        <v>190</v>
      </c>
      <c r="D198" t="str">
        <f ca="1">VLOOKUP(B198,[1]Sheet14!$C:$H,6,0)</f>
        <v>FMSC</v>
      </c>
      <c r="E198" s="27" t="s">
        <v>194</v>
      </c>
      <c r="F198" s="27" t="s">
        <v>233</v>
      </c>
      <c r="G198" s="27" t="s">
        <v>292</v>
      </c>
      <c r="H198" s="27">
        <v>8690056113</v>
      </c>
      <c r="I198" s="27"/>
      <c r="J198" s="27"/>
      <c r="K198" t="str">
        <f ca="1">VLOOKUP(B198,[1]Sheet14!$C:$I,7,0)</f>
        <v>Allcargo Supply Chain Pvt. Ltd.</v>
      </c>
      <c r="M198" t="str">
        <f ca="1">VLOOKUP(B198,[1]Sheet14!$C:$J,8,0)</f>
        <v>umeshkumar.singh@allcargosupplychain.com</v>
      </c>
    </row>
    <row r="199" spans="1:13">
      <c r="A199">
        <v>198</v>
      </c>
      <c r="B199" s="27" t="s">
        <v>65</v>
      </c>
      <c r="C199" s="27" t="s">
        <v>190</v>
      </c>
      <c r="D199" t="str">
        <f ca="1">VLOOKUP(B199,[1]Sheet14!$C:$H,6,0)</f>
        <v>FMSC</v>
      </c>
      <c r="E199" s="27" t="s">
        <v>194</v>
      </c>
      <c r="F199" s="27" t="s">
        <v>196</v>
      </c>
      <c r="G199" s="27" t="s">
        <v>293</v>
      </c>
      <c r="H199" s="27">
        <v>9512281207</v>
      </c>
      <c r="I199" s="27" t="s">
        <v>373</v>
      </c>
      <c r="J199" s="27">
        <v>7827533548</v>
      </c>
      <c r="K199" t="str">
        <f ca="1">VLOOKUP(B199,[1]Sheet14!$C:$I,7,0)</f>
        <v>DP World Express Logistics Private Limited</v>
      </c>
      <c r="M199" t="str">
        <f ca="1">VLOOKUP(B199,[1]Sheet14!$C:$J,8,0)</f>
        <v>dipak.kulathe@dpworld.com</v>
      </c>
    </row>
    <row r="200" spans="1:13">
      <c r="A200">
        <v>199</v>
      </c>
      <c r="B200" s="27" t="s">
        <v>66</v>
      </c>
      <c r="C200" s="27" t="s">
        <v>190</v>
      </c>
      <c r="D200" t="str">
        <f ca="1">VLOOKUP(B200,[1]Sheet14!$C:$H,6,0)</f>
        <v>FMSC</v>
      </c>
      <c r="E200" s="27" t="s">
        <v>194</v>
      </c>
      <c r="F200" s="27" t="s">
        <v>196</v>
      </c>
      <c r="G200" s="27" t="s">
        <v>294</v>
      </c>
      <c r="H200" s="27">
        <v>8855915553</v>
      </c>
      <c r="I200" s="27" t="s">
        <v>572</v>
      </c>
      <c r="J200" s="27">
        <v>9044684311</v>
      </c>
      <c r="K200" t="str">
        <f ca="1">VLOOKUP(B200,[1]Sheet14!$C:$I,7,0)</f>
        <v>CJDarcl India Pvt Ltd</v>
      </c>
      <c r="M200" t="str">
        <f ca="1">VLOOKUP(B200,[1]Sheet14!$C:$J,8,0)</f>
        <v>meesho_surat_wh@cjdarcl.com</v>
      </c>
    </row>
    <row r="201" spans="1:13">
      <c r="A201">
        <v>200</v>
      </c>
      <c r="B201" s="27" t="s">
        <v>67</v>
      </c>
      <c r="C201" s="27" t="s">
        <v>190</v>
      </c>
      <c r="D201" t="str">
        <f ca="1">VLOOKUP(B201,[1]Sheet14!$C:$H,6,0)</f>
        <v>FMSC</v>
      </c>
      <c r="E201" s="27" t="s">
        <v>194</v>
      </c>
      <c r="F201" s="27" t="s">
        <v>233</v>
      </c>
      <c r="G201" s="27" t="s">
        <v>295</v>
      </c>
      <c r="H201" s="27" t="s">
        <v>408</v>
      </c>
      <c r="I201" s="27" t="s">
        <v>573</v>
      </c>
      <c r="J201" s="27">
        <v>9812502061</v>
      </c>
      <c r="K201" t="str">
        <f ca="1">VLOOKUP(B201,[1]Sheet14!$C:$I,7,0)</f>
        <v>XpressBees</v>
      </c>
      <c r="M201" t="str">
        <f ca="1">VLOOKUP(B201,[1]Sheet14!$C:$J,8,0)</f>
        <v>azruddin.ansari@xpressbees.com</v>
      </c>
    </row>
    <row r="202" spans="1:13">
      <c r="A202">
        <v>201</v>
      </c>
      <c r="B202" s="27" t="s">
        <v>68</v>
      </c>
      <c r="C202" s="27" t="s">
        <v>190</v>
      </c>
      <c r="D202" t="str">
        <f ca="1">VLOOKUP(B202,[1]Sheet14!$C:$H,6,0)</f>
        <v>FMSC</v>
      </c>
      <c r="E202" s="27" t="s">
        <v>194</v>
      </c>
      <c r="F202" s="27" t="s">
        <v>235</v>
      </c>
      <c r="G202" s="27" t="s">
        <v>296</v>
      </c>
      <c r="H202" s="27">
        <v>7990365788</v>
      </c>
      <c r="I202" s="27" t="s">
        <v>460</v>
      </c>
      <c r="J202" s="27">
        <v>9909973188</v>
      </c>
      <c r="K202" t="str">
        <f ca="1">VLOOKUP(B202,[1]Sheet14!$C:$I,7,0)</f>
        <v>Apollo Supply Chain Pvt Ltd</v>
      </c>
      <c r="M202" t="str">
        <f ca="1">VLOOKUP(B202,[1]Sheet14!$C:$J,8,0)</f>
        <v>ajoy.kundu@apollosupplychain.com</v>
      </c>
    </row>
    <row r="203" spans="1:13">
      <c r="A203">
        <v>202</v>
      </c>
      <c r="B203" s="27" t="s">
        <v>69</v>
      </c>
      <c r="C203" s="27" t="s">
        <v>191</v>
      </c>
      <c r="D203" t="str">
        <f ca="1">VLOOKUP(B203,[1]Sheet14!$C:$H,6,0)</f>
        <v>LMSC</v>
      </c>
      <c r="E203" s="27" t="s">
        <v>195</v>
      </c>
      <c r="F203" s="27" t="s">
        <v>236</v>
      </c>
      <c r="G203" s="27" t="s">
        <v>297</v>
      </c>
      <c r="H203" s="27" t="s">
        <v>409</v>
      </c>
      <c r="I203" s="27" t="s">
        <v>461</v>
      </c>
      <c r="J203" s="27">
        <v>8686720525</v>
      </c>
      <c r="K203" t="str">
        <f ca="1">VLOOKUP(B203,[1]Sheet14!$C:$I,7,0)</f>
        <v>Proconnect Supply Chain Solutions Limited</v>
      </c>
      <c r="M203" t="str">
        <f ca="1">VLOOKUP(B203,[1]Sheet14!$C:$J,8,0)</f>
        <v>manohar.tk@proconnectlogistics.com</v>
      </c>
    </row>
    <row r="204" spans="1:13">
      <c r="A204">
        <v>203</v>
      </c>
      <c r="B204" s="27" t="s">
        <v>70</v>
      </c>
      <c r="C204" s="27" t="s">
        <v>191</v>
      </c>
      <c r="D204" t="str">
        <f ca="1">VLOOKUP(B204,[1]Sheet14!$C:$H,6,0)</f>
        <v>LMSC</v>
      </c>
      <c r="E204" s="27" t="s">
        <v>195</v>
      </c>
      <c r="F204" s="27" t="s">
        <v>236</v>
      </c>
      <c r="G204" s="27" t="s">
        <v>298</v>
      </c>
      <c r="H204" s="27">
        <v>8660613753</v>
      </c>
      <c r="I204" s="27" t="s">
        <v>462</v>
      </c>
      <c r="J204" s="27">
        <v>8074220356</v>
      </c>
      <c r="K204" t="str">
        <f ca="1">VLOOKUP(B204,[1]Sheet14!$C:$I,7,0)</f>
        <v>Loadshare Network Pvt Ltd</v>
      </c>
      <c r="M204" t="str">
        <f ca="1">VLOOKUP(B204,[1]Sheet14!$C:$J,8,0)</f>
        <v>bharath@loadshare.net</v>
      </c>
    </row>
    <row r="205" spans="1:13">
      <c r="A205">
        <v>204</v>
      </c>
      <c r="B205" s="27" t="s">
        <v>75</v>
      </c>
      <c r="C205" s="27" t="s">
        <v>190</v>
      </c>
      <c r="D205" t="str">
        <f ca="1">VLOOKUP(B205,[1]Sheet14!$C:$H,6,0)</f>
        <v>LMSC</v>
      </c>
      <c r="E205" s="27" t="s">
        <v>549</v>
      </c>
      <c r="F205" s="27" t="s">
        <v>226</v>
      </c>
      <c r="G205" s="27" t="s">
        <v>303</v>
      </c>
      <c r="H205" s="27" t="s">
        <v>411</v>
      </c>
      <c r="I205" s="27" t="s">
        <v>467</v>
      </c>
      <c r="J205" s="27">
        <v>9926906678</v>
      </c>
      <c r="K205" t="str">
        <f ca="1">VLOOKUP(B205,[1]Sheet14!$C:$I,7,0)</f>
        <v>FIBS Logistics India Private Limited</v>
      </c>
      <c r="M205" t="str">
        <f ca="1">VLOOKUP(B205,[1]Sheet14!$C:$J,8,0)</f>
        <v>raipur.ops@fibs-logistics.com</v>
      </c>
    </row>
    <row r="206" spans="1:13">
      <c r="A206">
        <v>205</v>
      </c>
      <c r="B206" s="27" t="s">
        <v>77</v>
      </c>
      <c r="C206" s="27" t="s">
        <v>190</v>
      </c>
      <c r="D206" t="str">
        <f ca="1">VLOOKUP(B206,[1]Sheet14!$C:$H,6,0)</f>
        <v>LMSC</v>
      </c>
      <c r="E206" s="27" t="s">
        <v>549</v>
      </c>
      <c r="F206" s="27" t="s">
        <v>228</v>
      </c>
      <c r="G206" s="27" t="s">
        <v>557</v>
      </c>
      <c r="H206" s="27">
        <v>7666624898</v>
      </c>
      <c r="I206" s="27" t="s">
        <v>574</v>
      </c>
      <c r="J206" s="27">
        <v>8390083709</v>
      </c>
      <c r="K206" t="str">
        <f ca="1">VLOOKUP(B206,[1]Sheet14!$C:$I,7,0)</f>
        <v>Ntex Transportation Services Pvt Ltd.</v>
      </c>
      <c r="M206" t="str">
        <f ca="1">VLOOKUP(B206,[1]Sheet14!$C:$J,8,0)</f>
        <v>ashok.kumar@elastic.run</v>
      </c>
    </row>
    <row r="207" spans="1:13">
      <c r="A207">
        <v>206</v>
      </c>
      <c r="B207" s="27" t="s">
        <v>78</v>
      </c>
      <c r="C207" s="27" t="s">
        <v>190</v>
      </c>
      <c r="D207" t="str">
        <f ca="1">VLOOKUP(B207,[1]Sheet14!$C:$H,6,0)</f>
        <v>LMSC</v>
      </c>
      <c r="E207" s="27" t="s">
        <v>549</v>
      </c>
      <c r="F207" s="27" t="s">
        <v>206</v>
      </c>
      <c r="G207" s="31" t="s">
        <v>306</v>
      </c>
      <c r="H207" s="27">
        <v>8429844413</v>
      </c>
      <c r="I207" s="27" t="s">
        <v>470</v>
      </c>
      <c r="J207" s="27">
        <v>9009149143</v>
      </c>
      <c r="K207" t="str">
        <f ca="1">VLOOKUP(B207,[1]Sheet14!$C:$I,7,0)</f>
        <v>INFINITY SOLUTATION</v>
      </c>
      <c r="M207" t="str">
        <f ca="1">VLOOKUP(B207,[1]Sheet14!$C:$J,8,0)</f>
        <v>head.ops@infinitysolutionsindia.com</v>
      </c>
    </row>
    <row r="208" spans="1:13">
      <c r="A208">
        <v>207</v>
      </c>
      <c r="B208" s="27" t="s">
        <v>80</v>
      </c>
      <c r="C208" s="27" t="s">
        <v>190</v>
      </c>
      <c r="D208" t="str">
        <f ca="1">VLOOKUP(B208,[1]Sheet14!$C:$H,6,0)</f>
        <v>FMSC</v>
      </c>
      <c r="E208" s="27" t="s">
        <v>194</v>
      </c>
      <c r="F208" s="27" t="s">
        <v>235</v>
      </c>
      <c r="G208" s="27" t="s">
        <v>308</v>
      </c>
      <c r="H208" s="27">
        <v>8488823936</v>
      </c>
      <c r="I208" s="27" t="s">
        <v>389</v>
      </c>
      <c r="J208" s="27">
        <v>7900856570</v>
      </c>
      <c r="K208" t="str">
        <f ca="1">VLOOKUP(B208,[1]Sheet14!$C:$I,7,0)</f>
        <v>SHREE VASU LOGISTICS LTD</v>
      </c>
      <c r="M208" t="str">
        <f ca="1">VLOOKUP(B208,[1]Sheet14!$C:$J,8,0)</f>
        <v>Warehouseincharge.sur@shreevasulogistics.in</v>
      </c>
    </row>
    <row r="209" spans="1:13">
      <c r="A209">
        <v>208</v>
      </c>
      <c r="B209" s="27" t="s">
        <v>81</v>
      </c>
      <c r="C209" s="27" t="s">
        <v>190</v>
      </c>
      <c r="D209" t="str">
        <f ca="1">VLOOKUP(B209,[1]Sheet14!$C:$H,6,0)</f>
        <v>FMSC</v>
      </c>
      <c r="E209" s="27" t="s">
        <v>194</v>
      </c>
      <c r="F209" s="27" t="s">
        <v>233</v>
      </c>
      <c r="G209" s="27" t="s">
        <v>309</v>
      </c>
      <c r="H209" s="27">
        <v>9695640704</v>
      </c>
      <c r="I209" s="27" t="s">
        <v>344</v>
      </c>
      <c r="J209" s="27">
        <v>9168377043</v>
      </c>
      <c r="K209" t="str">
        <f ca="1">VLOOKUP(B209,[1]Sheet14!$C:$I,7,0)</f>
        <v>FIBS Logistics India Private Limited</v>
      </c>
      <c r="M209" t="str">
        <f ca="1">VLOOKUP(B209,[1]Sheet14!$C:$J,8,0)</f>
        <v>it.rajkot@fibs-logistics.com</v>
      </c>
    </row>
    <row r="210" spans="1:13">
      <c r="A210">
        <v>209</v>
      </c>
      <c r="B210" s="27" t="s">
        <v>82</v>
      </c>
      <c r="C210" s="27" t="s">
        <v>190</v>
      </c>
      <c r="D210" t="str">
        <f ca="1">VLOOKUP(B210,[1]Sheet14!$C:$H,6,0)</f>
        <v>FMSC</v>
      </c>
      <c r="E210" s="27" t="s">
        <v>549</v>
      </c>
      <c r="F210" s="27" t="s">
        <v>550</v>
      </c>
      <c r="G210" s="27" t="s">
        <v>310</v>
      </c>
      <c r="H210" s="27" t="s">
        <v>558</v>
      </c>
      <c r="I210" s="27" t="s">
        <v>403</v>
      </c>
      <c r="J210" s="27">
        <v>9898715522</v>
      </c>
      <c r="K210" t="str">
        <f ca="1">VLOOKUP(B210,[1]Sheet14!$C:$I,7,0)</f>
        <v>Ntex Transportation Services Pvt Ltd.</v>
      </c>
      <c r="M210" t="str">
        <f ca="1">VLOOKUP(B210,[1]Sheet14!$C:$J,8,0)</f>
        <v>Sahil.jayaswal@elastic.run</v>
      </c>
    </row>
    <row r="211" spans="1:13">
      <c r="A211">
        <v>210</v>
      </c>
      <c r="B211" s="27" t="s">
        <v>83</v>
      </c>
      <c r="C211" s="27" t="s">
        <v>190</v>
      </c>
      <c r="D211" t="str">
        <f ca="1">VLOOKUP(B211,[1]Sheet14!$C:$H,6,0)</f>
        <v>FMSC</v>
      </c>
      <c r="E211" s="27" t="s">
        <v>194</v>
      </c>
      <c r="F211" s="27" t="s">
        <v>235</v>
      </c>
      <c r="G211" s="27" t="s">
        <v>329</v>
      </c>
      <c r="H211" s="27">
        <v>9136364631</v>
      </c>
      <c r="I211" s="27" t="s">
        <v>484</v>
      </c>
      <c r="J211" s="27">
        <v>9510412939</v>
      </c>
      <c r="K211" t="str">
        <f ca="1">VLOOKUP(B211,[1]Sheet14!$C:$I,7,0)</f>
        <v>Ntex Transportation Services Pvt Ltd.</v>
      </c>
      <c r="M211" t="str">
        <f ca="1">VLOOKUP(B211,[1]Sheet14!$C:$J,8,0)</f>
        <v>yogesh.kumarkar@elastic.run</v>
      </c>
    </row>
    <row r="212" spans="1:13">
      <c r="A212">
        <v>211</v>
      </c>
      <c r="B212" s="27" t="s">
        <v>87</v>
      </c>
      <c r="C212" s="27" t="s">
        <v>191</v>
      </c>
      <c r="D212" t="str">
        <f ca="1">VLOOKUP(B212,[1]Sheet14!$C:$H,6,0)</f>
        <v>LMSC</v>
      </c>
      <c r="E212" s="27" t="s">
        <v>195</v>
      </c>
      <c r="F212" s="27" t="s">
        <v>237</v>
      </c>
      <c r="G212" s="27" t="s">
        <v>315</v>
      </c>
      <c r="H212" s="27">
        <v>8825794847</v>
      </c>
      <c r="I212" s="27" t="s">
        <v>318</v>
      </c>
      <c r="J212" s="27">
        <v>9025995888</v>
      </c>
      <c r="K212" t="str">
        <f ca="1">VLOOKUP(B212,[1]Sheet14!$C:$I,7,0)</f>
        <v>Intelligent Retail Private Limited [ Ripplr ]</v>
      </c>
      <c r="M212" t="str">
        <f ca="1">VLOOKUP(B212,[1]Sheet14!$C:$J,8,0)</f>
        <v>dilip.r@ripplr.in</v>
      </c>
    </row>
    <row r="213" spans="1:13">
      <c r="A213">
        <v>212</v>
      </c>
      <c r="B213" s="27" t="s">
        <v>88</v>
      </c>
      <c r="C213" s="27" t="s">
        <v>191</v>
      </c>
      <c r="D213" t="str">
        <f ca="1">VLOOKUP(B213,[1]Sheet14!$C:$H,6,0)</f>
        <v>LMSC</v>
      </c>
      <c r="E213" s="27" t="s">
        <v>195</v>
      </c>
      <c r="F213" s="27" t="s">
        <v>237</v>
      </c>
      <c r="G213" s="27" t="s">
        <v>559</v>
      </c>
      <c r="H213" s="27" t="s">
        <v>560</v>
      </c>
      <c r="I213" s="27" t="s">
        <v>575</v>
      </c>
      <c r="J213" s="27">
        <v>9072731195</v>
      </c>
      <c r="K213" t="str">
        <f ca="1">VLOOKUP(B213,[1]Sheet14!$C:$I,7,0)</f>
        <v>SHREE VASU LOGISTICS LTD</v>
      </c>
      <c r="M213" t="str">
        <f ca="1">VLOOKUP(B213,[1]Sheet14!$C:$J,8,0)</f>
        <v>meeshocoimbatore@shreevasulogistics.in</v>
      </c>
    </row>
    <row r="214" spans="1:13">
      <c r="A214">
        <v>213</v>
      </c>
      <c r="B214" s="27" t="s">
        <v>89</v>
      </c>
      <c r="C214" s="27" t="s">
        <v>190</v>
      </c>
      <c r="D214" t="str">
        <f ca="1">VLOOKUP(B214,[1]Sheet14!$C:$H,6,0)</f>
        <v>Hybrid</v>
      </c>
      <c r="E214" s="27" t="s">
        <v>194</v>
      </c>
      <c r="F214" s="27" t="s">
        <v>201</v>
      </c>
      <c r="G214" s="27" t="s">
        <v>561</v>
      </c>
      <c r="H214" s="27">
        <v>6203405495</v>
      </c>
      <c r="I214" s="27" t="s">
        <v>576</v>
      </c>
      <c r="J214" s="27">
        <v>9687358442</v>
      </c>
      <c r="K214" t="str">
        <f ca="1">VLOOKUP(B214,[1]Sheet14!$C:$I,7,0)</f>
        <v>FREIGHT SYSTEMS INDIA PRIVATE LIMITED</v>
      </c>
      <c r="M214" t="str">
        <f ca="1">VLOOKUP(B214,[1]Sheet14!$C:$J,8,0)</f>
        <v>devkishan.sharma@freightsystems.com</v>
      </c>
    </row>
    <row r="215" spans="1:13">
      <c r="A215">
        <v>214</v>
      </c>
      <c r="B215" s="27" t="s">
        <v>92</v>
      </c>
      <c r="C215" s="27" t="s">
        <v>191</v>
      </c>
      <c r="D215" t="str">
        <f ca="1">VLOOKUP(B215,[1]Sheet14!$C:$H,6,0)</f>
        <v>LMSC</v>
      </c>
      <c r="E215" s="27" t="s">
        <v>195</v>
      </c>
      <c r="F215" s="27" t="s">
        <v>237</v>
      </c>
      <c r="G215" s="27" t="s">
        <v>314</v>
      </c>
      <c r="H215" s="27">
        <v>8668045720</v>
      </c>
      <c r="I215" s="27" t="s">
        <v>577</v>
      </c>
      <c r="J215" s="27">
        <v>8883257427</v>
      </c>
      <c r="K215" t="str">
        <f ca="1">VLOOKUP(B215,[1]Sheet14!$C:$I,7,0)</f>
        <v xml:space="preserve">SCINNTC SUPPLY CHAIN SOLUTIONS PRIVATE LIMITED </v>
      </c>
      <c r="M215" t="str">
        <f ca="1">VLOOKUP(B215,[1]Sheet14!$C:$J,8,0)</f>
        <v>nithish.kumar@scinntc.com</v>
      </c>
    </row>
    <row r="216" spans="1:13">
      <c r="A216">
        <v>215</v>
      </c>
      <c r="B216" s="27" t="s">
        <v>93</v>
      </c>
      <c r="C216" s="27" t="s">
        <v>191</v>
      </c>
      <c r="D216" t="str">
        <f ca="1">VLOOKUP(B216,[1]Sheet14!$C:$H,6,0)</f>
        <v>LMSC</v>
      </c>
      <c r="E216" s="27" t="s">
        <v>195</v>
      </c>
      <c r="F216" s="27" t="s">
        <v>208</v>
      </c>
      <c r="G216" s="27" t="s">
        <v>319</v>
      </c>
      <c r="H216" s="27">
        <v>9071717181</v>
      </c>
      <c r="I216" s="27" t="s">
        <v>478</v>
      </c>
      <c r="J216" s="27" t="s">
        <v>546</v>
      </c>
      <c r="K216" t="str">
        <f ca="1">VLOOKUP(B216,[1]Sheet14!$C:$I,7,0)</f>
        <v>DeliveryPlus</v>
      </c>
      <c r="M216" t="str">
        <f ca="1">VLOOKUP(B216,[1]Sheet14!$C:$J,8,0)</f>
        <v>SC_Update@deliveryplus.in</v>
      </c>
    </row>
    <row r="217" spans="1:13">
      <c r="A217">
        <v>216</v>
      </c>
      <c r="B217" s="27" t="s">
        <v>94</v>
      </c>
      <c r="C217" s="27" t="s">
        <v>191</v>
      </c>
      <c r="D217" t="str">
        <f ca="1">VLOOKUP(B217,[1]Sheet14!$C:$H,6,0)</f>
        <v>LMSC</v>
      </c>
      <c r="E217" s="27" t="s">
        <v>195</v>
      </c>
      <c r="F217" s="27" t="s">
        <v>223</v>
      </c>
      <c r="G217" s="27" t="s">
        <v>479</v>
      </c>
      <c r="H217" s="27">
        <v>7904028118</v>
      </c>
      <c r="I217" s="27" t="s">
        <v>578</v>
      </c>
      <c r="J217" s="27">
        <v>8098698690</v>
      </c>
      <c r="K217" t="str">
        <f ca="1">VLOOKUP(B217,[1]Sheet14!$C:$I,7,0)</f>
        <v>Sitics Logistic Solutions Pvt. Ltd.</v>
      </c>
      <c r="M217" t="str">
        <f ca="1">VLOOKUP(B217,[1]Sheet14!$C:$J,8,0)</f>
        <v>dhinesh.kumar@sitics.co</v>
      </c>
    </row>
    <row r="218" spans="1:13">
      <c r="A218">
        <v>217</v>
      </c>
      <c r="B218" s="27" t="s">
        <v>95</v>
      </c>
      <c r="C218" s="27" t="s">
        <v>190</v>
      </c>
      <c r="D218" t="str">
        <f ca="1">VLOOKUP(B218,[1]Sheet14!$C:$H,6,0)</f>
        <v>FMSC</v>
      </c>
      <c r="E218" s="27" t="s">
        <v>194</v>
      </c>
      <c r="F218" s="27" t="s">
        <v>239</v>
      </c>
      <c r="G218" s="27" t="s">
        <v>321</v>
      </c>
      <c r="H218" s="27" t="s">
        <v>412</v>
      </c>
      <c r="K218" t="str">
        <f ca="1">VLOOKUP(B218,[1]Sheet14!$C:$I,7,0)</f>
        <v>DP World Express Logistics Private Limited</v>
      </c>
      <c r="M218" t="str">
        <f ca="1">VLOOKUP(B218,[1]Sheet14!$C:$J,8,0)</f>
        <v>dipak.kulathe@dpworld.com</v>
      </c>
    </row>
    <row r="219" spans="1:13">
      <c r="A219">
        <v>218</v>
      </c>
      <c r="B219" s="27" t="s">
        <v>110</v>
      </c>
      <c r="C219" s="27" t="s">
        <v>191</v>
      </c>
      <c r="D219" t="str">
        <f ca="1">VLOOKUP(B219,[1]Sheet14!$C:$H,6,0)</f>
        <v>LMSC</v>
      </c>
      <c r="E219" s="27" t="s">
        <v>195</v>
      </c>
      <c r="F219" s="27" t="s">
        <v>202</v>
      </c>
      <c r="G219" s="27" t="s">
        <v>335</v>
      </c>
      <c r="H219" s="27">
        <v>7889485410</v>
      </c>
      <c r="I219" s="27" t="s">
        <v>418</v>
      </c>
      <c r="J219" s="27">
        <v>9164532362</v>
      </c>
      <c r="K219" t="str">
        <f ca="1">VLOOKUP(B219,[1]Sheet14!$C:$I,7,0)</f>
        <v>Access Warehousing Private Limited</v>
      </c>
      <c r="M219" t="str">
        <f ca="1">VLOOKUP(B219,[1]Sheet14!$C:$J,8,0)</f>
        <v>govindraj.sv@accessbizindia.com</v>
      </c>
    </row>
    <row r="220" spans="1:13">
      <c r="A220">
        <v>219</v>
      </c>
      <c r="B220" s="27" t="s">
        <v>97</v>
      </c>
      <c r="C220" s="27" t="s">
        <v>190</v>
      </c>
      <c r="D220" t="str">
        <f ca="1">VLOOKUP(B220,[1]Sheet14!$C:$H,6,0)</f>
        <v>LMSC</v>
      </c>
      <c r="E220" s="27" t="s">
        <v>549</v>
      </c>
      <c r="F220" s="27" t="s">
        <v>221</v>
      </c>
      <c r="G220" s="27" t="s">
        <v>438</v>
      </c>
      <c r="H220" s="27">
        <v>8107269797</v>
      </c>
      <c r="I220" s="29" t="s">
        <v>579</v>
      </c>
      <c r="J220" s="31" t="s">
        <v>580</v>
      </c>
      <c r="K220" t="str">
        <f ca="1">VLOOKUP(B220,[1]Sheet14!$C:$I,7,0)</f>
        <v>Amaze solutions</v>
      </c>
      <c r="M220" t="str">
        <f ca="1">VLOOKUP(B220,[1]Sheet14!$C:$J,8,0)</f>
        <v>gagan.deep@asnmcare.com</v>
      </c>
    </row>
    <row r="221" spans="1:13">
      <c r="A221">
        <v>220</v>
      </c>
      <c r="B221" s="27" t="s">
        <v>98</v>
      </c>
      <c r="C221" s="27" t="s">
        <v>190</v>
      </c>
      <c r="D221" t="str">
        <f ca="1">VLOOKUP(B221,[1]Sheet14!$C:$H,6,0)</f>
        <v>LMSC</v>
      </c>
      <c r="E221" s="27" t="s">
        <v>549</v>
      </c>
      <c r="F221" s="27" t="s">
        <v>226</v>
      </c>
      <c r="G221" s="27" t="s">
        <v>323</v>
      </c>
      <c r="H221" s="27">
        <v>9301184536</v>
      </c>
      <c r="I221" s="27" t="s">
        <v>481</v>
      </c>
      <c r="J221" s="27">
        <v>9078951868</v>
      </c>
      <c r="K221" t="str">
        <f ca="1">VLOOKUP(B221,[1]Sheet14!$C:$I,7,0)</f>
        <v>SHREE VASU LOGISTICS LTD</v>
      </c>
      <c r="M221" t="str">
        <f ca="1">VLOOKUP(B221,[1]Sheet14!$C:$J,8,0)</f>
        <v>Warehouseincharge.rpr@shreevasulogistics.com</v>
      </c>
    </row>
    <row r="222" spans="1:13">
      <c r="A222">
        <v>221</v>
      </c>
      <c r="B222" s="27" t="s">
        <v>100</v>
      </c>
      <c r="C222" s="27" t="s">
        <v>190</v>
      </c>
      <c r="D222" t="str">
        <f ca="1">VLOOKUP(B222,[1]Sheet14!$C:$H,6,0)</f>
        <v>LMSC</v>
      </c>
      <c r="E222" s="27" t="s">
        <v>194</v>
      </c>
      <c r="F222" s="27" t="s">
        <v>239</v>
      </c>
      <c r="G222" s="27" t="s">
        <v>325</v>
      </c>
      <c r="H222" s="27" t="s">
        <v>413</v>
      </c>
      <c r="I222" s="27"/>
      <c r="J222" s="35"/>
      <c r="K222" t="str">
        <f ca="1">VLOOKUP(B222,[1]Sheet14!$C:$I,7,0)</f>
        <v>SHREE HARI ENTERPRISE</v>
      </c>
      <c r="M222" t="str">
        <f ca="1">VLOOKUP(B222,[1]Sheet14!$C:$J,8,0)</f>
        <v>shreeharienterprise916@gmail.com</v>
      </c>
    </row>
    <row r="223" spans="1:13">
      <c r="A223">
        <v>222</v>
      </c>
      <c r="B223" s="27" t="s">
        <v>102</v>
      </c>
      <c r="C223" s="27" t="s">
        <v>190</v>
      </c>
      <c r="D223" t="str">
        <f ca="1">VLOOKUP(B223,[1]Sheet14!$C:$H,6,0)</f>
        <v>FMSC</v>
      </c>
      <c r="E223" s="27" t="s">
        <v>194</v>
      </c>
      <c r="F223" s="27" t="s">
        <v>232</v>
      </c>
      <c r="G223" s="27" t="s">
        <v>562</v>
      </c>
      <c r="H223" s="27">
        <v>7700068038</v>
      </c>
      <c r="I223" s="27" t="s">
        <v>327</v>
      </c>
      <c r="J223" s="27">
        <v>7202862501</v>
      </c>
      <c r="K223" t="str">
        <f ca="1">VLOOKUP(B223,[1]Sheet14!$C:$I,7,0)</f>
        <v>Ethics Prosperity Pvt. Ltd.</v>
      </c>
      <c r="M223" t="str">
        <f ca="1">VLOOKUP(B223,[1]Sheet14!$C:$J,8,0)</f>
        <v>mudit.goyal@ethicsgroup.in</v>
      </c>
    </row>
    <row r="224" spans="1:13">
      <c r="A224">
        <v>223</v>
      </c>
      <c r="B224" s="27" t="s">
        <v>103</v>
      </c>
      <c r="C224" s="27" t="s">
        <v>190</v>
      </c>
      <c r="D224" t="str">
        <f ca="1">VLOOKUP(B224,[1]Sheet14!$C:$H,6,0)</f>
        <v>LMSC</v>
      </c>
      <c r="E224" s="27" t="s">
        <v>549</v>
      </c>
      <c r="F224" s="27" t="s">
        <v>240</v>
      </c>
      <c r="G224" s="27" t="s">
        <v>328</v>
      </c>
      <c r="H224" s="27">
        <v>9420477892</v>
      </c>
      <c r="I224" s="27" t="s">
        <v>400</v>
      </c>
      <c r="J224" s="27">
        <v>9021190556</v>
      </c>
      <c r="K224" t="str">
        <f ca="1">VLOOKUP(B224,[1]Sheet14!$C:$I,7,0)</f>
        <v>Probity Logistics</v>
      </c>
      <c r="M224" t="str">
        <f ca="1">VLOOKUP(B224,[1]Sheet14!$C:$J,8,0)</f>
        <v>hiren@probitylogistics.in</v>
      </c>
    </row>
    <row r="225" spans="1:13">
      <c r="A225">
        <v>224</v>
      </c>
      <c r="B225" s="27" t="s">
        <v>104</v>
      </c>
      <c r="C225" s="27" t="s">
        <v>190</v>
      </c>
      <c r="D225" t="str">
        <f ca="1">VLOOKUP(B225,[1]Sheet14!$C:$H,6,0)</f>
        <v>Gateway</v>
      </c>
      <c r="E225" s="27" t="s">
        <v>194</v>
      </c>
      <c r="F225" s="27" t="s">
        <v>235</v>
      </c>
      <c r="G225" s="27" t="s">
        <v>311</v>
      </c>
      <c r="H225" s="27">
        <v>9997845742</v>
      </c>
      <c r="I225" s="27" t="s">
        <v>329</v>
      </c>
      <c r="J225" s="27">
        <v>9136364631</v>
      </c>
      <c r="K225" t="str">
        <f ca="1">VLOOKUP(B225,[1]Sheet14!$C:$I,7,0)</f>
        <v>SHREE VASU LOGISTICS LTD</v>
      </c>
      <c r="M225" t="str">
        <f ca="1">VLOOKUP(B225,[1]Sheet14!$C:$J,8,0)</f>
        <v>cdwarehouseincharge.sur@shreevasulogistics.in</v>
      </c>
    </row>
    <row r="226" spans="1:13">
      <c r="A226">
        <v>225</v>
      </c>
      <c r="B226" s="27" t="s">
        <v>107</v>
      </c>
      <c r="C226" s="27" t="s">
        <v>191</v>
      </c>
      <c r="D226" t="str">
        <f ca="1">VLOOKUP(B226,[1]Sheet14!$C:$H,6,0)</f>
        <v>LMSC</v>
      </c>
      <c r="E226" s="27" t="s">
        <v>195</v>
      </c>
      <c r="F226" s="27" t="s">
        <v>242</v>
      </c>
      <c r="G226" s="27" t="s">
        <v>332</v>
      </c>
      <c r="H226" s="27">
        <v>9666481545</v>
      </c>
      <c r="I226" s="27" t="s">
        <v>487</v>
      </c>
      <c r="J226" s="27">
        <v>9133204632</v>
      </c>
      <c r="K226" t="str">
        <f ca="1">VLOOKUP(B226,[1]Sheet14!$C:$I,7,0)</f>
        <v>MOGLI LABS ( INDIA ) PVT LTD</v>
      </c>
      <c r="M226" t="str">
        <f ca="1">VLOOKUP(B226,[1]Sheet14!$C:$J,8,0)</f>
        <v>logaprabhu.rajendran@moglix.com</v>
      </c>
    </row>
    <row r="227" spans="1:13">
      <c r="A227">
        <v>226</v>
      </c>
      <c r="B227" s="27" t="s">
        <v>111</v>
      </c>
      <c r="C227" s="27" t="s">
        <v>191</v>
      </c>
      <c r="D227" t="str">
        <f ca="1">VLOOKUP(B227,[1]Sheet14!$C:$H,6,0)</f>
        <v>LMSC</v>
      </c>
      <c r="E227" s="27" t="s">
        <v>195</v>
      </c>
      <c r="F227" s="27" t="s">
        <v>203</v>
      </c>
      <c r="G227" s="30" t="s">
        <v>336</v>
      </c>
      <c r="H227" s="30">
        <v>9900549403</v>
      </c>
      <c r="I227" s="27" t="s">
        <v>490</v>
      </c>
      <c r="J227" s="27">
        <v>8105466398</v>
      </c>
      <c r="K227" t="str">
        <f ca="1">VLOOKUP(B227,[1]Sheet14!$C:$I,7,0)</f>
        <v>FIBS Logistics India Private Limited</v>
      </c>
      <c r="M227" t="str">
        <f ca="1">VLOOKUP(B227,[1]Sheet14!$C:$J,8,0)</f>
        <v>Saurabh.kumar@fibs-logistics.com</v>
      </c>
    </row>
    <row r="228" spans="1:13">
      <c r="A228">
        <v>227</v>
      </c>
      <c r="B228" s="27" t="s">
        <v>112</v>
      </c>
      <c r="C228" s="27" t="s">
        <v>190</v>
      </c>
      <c r="D228" t="str">
        <f ca="1">VLOOKUP(B228,[1]Sheet14!$C:$H,6,0)</f>
        <v>FMSC</v>
      </c>
      <c r="E228" s="27" t="s">
        <v>194</v>
      </c>
      <c r="F228" s="27" t="s">
        <v>232</v>
      </c>
      <c r="G228" s="27" t="s">
        <v>337</v>
      </c>
      <c r="H228" s="27">
        <v>7984429471</v>
      </c>
      <c r="I228" s="27" t="s">
        <v>581</v>
      </c>
      <c r="J228" s="27">
        <v>7778989472</v>
      </c>
      <c r="K228" t="str">
        <f ca="1">VLOOKUP(B228,[1]Sheet14!$C:$I,7,0)</f>
        <v>Shree Maruti Integrated Logistics Limited</v>
      </c>
      <c r="M228" t="str">
        <f ca="1">VLOOKUP(B228,[1]Sheet14!$C:$J,8,0)</f>
        <v>ezaz.shaikh@shreemaruti.com</v>
      </c>
    </row>
    <row r="229" spans="1:13">
      <c r="A229">
        <v>228</v>
      </c>
      <c r="B229" s="27" t="s">
        <v>113</v>
      </c>
      <c r="C229" s="27" t="s">
        <v>190</v>
      </c>
      <c r="D229" t="str">
        <f ca="1">VLOOKUP(B229,[1]Sheet14!$C:$H,6,0)</f>
        <v>LMSC</v>
      </c>
      <c r="E229" s="27" t="s">
        <v>549</v>
      </c>
      <c r="F229" s="27" t="s">
        <v>206</v>
      </c>
      <c r="G229" s="27" t="s">
        <v>338</v>
      </c>
      <c r="H229" s="27">
        <v>9074396112</v>
      </c>
      <c r="I229" s="27" t="s">
        <v>491</v>
      </c>
      <c r="J229" s="27">
        <v>6261477094</v>
      </c>
      <c r="K229" t="str">
        <f ca="1">VLOOKUP(B229,[1]Sheet14!$C:$I,7,0)</f>
        <v>DeliveryPlus</v>
      </c>
      <c r="M229" t="str">
        <f ca="1">VLOOKUP(B229,[1]Sheet14!$C:$J,8,0)</f>
        <v>ranjeetsingh@deliveryplus.co.in</v>
      </c>
    </row>
    <row r="230" spans="1:13">
      <c r="A230">
        <v>229</v>
      </c>
      <c r="B230" s="27" t="s">
        <v>114</v>
      </c>
      <c r="C230" s="27" t="s">
        <v>191</v>
      </c>
      <c r="D230" t="str">
        <f ca="1">VLOOKUP(B230,[1]Sheet14!$C:$H,6,0)</f>
        <v>Gateway</v>
      </c>
      <c r="E230" s="27" t="s">
        <v>195</v>
      </c>
      <c r="F230" s="27" t="s">
        <v>242</v>
      </c>
      <c r="G230" s="27" t="s">
        <v>563</v>
      </c>
      <c r="H230" s="32">
        <v>9985928248</v>
      </c>
      <c r="I230" s="27" t="s">
        <v>492</v>
      </c>
      <c r="J230" s="27">
        <v>9063456784</v>
      </c>
      <c r="K230" t="str">
        <f ca="1">VLOOKUP(B230,[1]Sheet14!$C:$I,7,0)</f>
        <v>YCH Logistics (I) Pvt Ltd</v>
      </c>
      <c r="M230" t="str">
        <f ca="1">VLOOKUP(B230,[1]Sheet14!$C:$J,8,0)</f>
        <v>Aneeshbabu.b@ych.com</v>
      </c>
    </row>
    <row r="231" spans="1:13">
      <c r="A231">
        <v>230</v>
      </c>
      <c r="B231" s="27" t="s">
        <v>115</v>
      </c>
      <c r="C231" s="27" t="s">
        <v>190</v>
      </c>
      <c r="D231" t="str">
        <f ca="1">VLOOKUP(B231,[1]Sheet14!$C:$H,6,0)</f>
        <v>LMSC</v>
      </c>
      <c r="E231" s="27" t="s">
        <v>549</v>
      </c>
      <c r="F231" s="27" t="s">
        <v>228</v>
      </c>
      <c r="G231" s="27" t="s">
        <v>564</v>
      </c>
      <c r="H231" s="27">
        <v>9096470178</v>
      </c>
      <c r="I231" s="27" t="s">
        <v>493</v>
      </c>
      <c r="J231" s="27">
        <v>8605234465</v>
      </c>
      <c r="K231" t="str">
        <f ca="1">VLOOKUP(B231,[1]Sheet14!$C:$I,7,0)</f>
        <v>Baba express e com PVT LTD</v>
      </c>
      <c r="M231" t="str">
        <f ca="1">VLOOKUP(B231,[1]Sheet14!$C:$J,8,0)</f>
        <v>sarvesh@babaexpress.in</v>
      </c>
    </row>
    <row r="232" spans="1:13">
      <c r="A232">
        <v>231</v>
      </c>
      <c r="B232" s="27" t="s">
        <v>119</v>
      </c>
      <c r="C232" s="27" t="s">
        <v>190</v>
      </c>
      <c r="D232" t="str">
        <f ca="1">VLOOKUP(B232,[1]Sheet14!$C:$H,6,0)</f>
        <v>FMSC</v>
      </c>
      <c r="E232" s="27" t="s">
        <v>194</v>
      </c>
      <c r="F232" s="27" t="s">
        <v>232</v>
      </c>
      <c r="G232" s="27" t="s">
        <v>384</v>
      </c>
      <c r="H232" s="27">
        <v>9898244977</v>
      </c>
      <c r="I232" s="27" t="s">
        <v>522</v>
      </c>
      <c r="J232" s="27">
        <v>9637889815</v>
      </c>
      <c r="K232" t="str">
        <f ca="1">VLOOKUP(B232,[1]Sheet14!$C:$I,7,0)</f>
        <v>Intelligent Retail Private Limited [ Ripplr ]</v>
      </c>
      <c r="M232" t="str">
        <f ca="1">VLOOKUP(B232,[1]Sheet14!$C:$J,8,0)</f>
        <v>Javed.S@ripplr.in</v>
      </c>
    </row>
    <row r="233" spans="1:13">
      <c r="A233">
        <v>232</v>
      </c>
      <c r="B233" s="27" t="s">
        <v>122</v>
      </c>
      <c r="C233" s="27" t="s">
        <v>190</v>
      </c>
      <c r="D233" t="str">
        <f ca="1">VLOOKUP(B233,[1]Sheet14!$C:$H,6,0)</f>
        <v>Gateway</v>
      </c>
      <c r="E233" s="27" t="s">
        <v>549</v>
      </c>
      <c r="F233" s="27" t="s">
        <v>550</v>
      </c>
      <c r="G233" s="27" t="s">
        <v>565</v>
      </c>
      <c r="H233" s="27">
        <v>9694650044</v>
      </c>
      <c r="I233" s="27" t="s">
        <v>272</v>
      </c>
      <c r="J233" s="27">
        <v>8192051386</v>
      </c>
      <c r="K233" t="str">
        <f ca="1">VLOOKUP(B233,[1]Sheet14!$C:$I,7,0)</f>
        <v>Ntex Transportation Services Pvt Ltd.</v>
      </c>
      <c r="M233" t="str">
        <f ca="1">VLOOKUP(B233,[1]Sheet14!$C:$J,8,0)</f>
        <v>Sahil.jayaswal@elastic.run</v>
      </c>
    </row>
    <row r="234" spans="1:13">
      <c r="A234">
        <v>233</v>
      </c>
      <c r="B234" s="27" t="s">
        <v>124</v>
      </c>
      <c r="C234" s="27" t="s">
        <v>190</v>
      </c>
      <c r="D234" t="str">
        <f ca="1">VLOOKUP(B234,[1]Sheet14!$C:$H,6,0)</f>
        <v>Hybrid</v>
      </c>
      <c r="E234" s="27" t="s">
        <v>549</v>
      </c>
      <c r="F234" s="27" t="s">
        <v>206</v>
      </c>
      <c r="G234" s="27" t="s">
        <v>349</v>
      </c>
      <c r="H234" s="27">
        <v>8982981396</v>
      </c>
      <c r="I234" s="27" t="s">
        <v>582</v>
      </c>
      <c r="J234" s="27">
        <v>6265255909</v>
      </c>
      <c r="K234" t="str">
        <f ca="1">VLOOKUP(B234,[1]Sheet14!$C:$I,7,0)</f>
        <v>Kapoor Diesels Garage Pvt. Ltd.</v>
      </c>
      <c r="M234" t="str">
        <f ca="1">VLOOKUP(B234,[1]Sheet14!$C:$J,8,0)</f>
        <v>akhil.pal@kapoordiesels.com</v>
      </c>
    </row>
    <row r="235" spans="1:13">
      <c r="A235">
        <v>234</v>
      </c>
      <c r="B235" s="27" t="s">
        <v>125</v>
      </c>
      <c r="C235" s="27" t="s">
        <v>191</v>
      </c>
      <c r="D235" t="str">
        <f ca="1">VLOOKUP(B235,[1]Sheet14!$C:$H,6,0)</f>
        <v>LMSC</v>
      </c>
      <c r="E235" s="27" t="s">
        <v>195</v>
      </c>
      <c r="F235" s="27" t="s">
        <v>236</v>
      </c>
      <c r="G235" s="27" t="s">
        <v>350</v>
      </c>
      <c r="H235" s="27">
        <v>8309775952</v>
      </c>
      <c r="I235" s="27" t="s">
        <v>499</v>
      </c>
      <c r="J235" s="27">
        <v>7207708434</v>
      </c>
      <c r="K235" t="str">
        <f ca="1">VLOOKUP(B235,[1]Sheet14!$C:$I,7,0)</f>
        <v>YCH Logistics (I) Pvt Ltd</v>
      </c>
      <c r="M235" t="str">
        <f ca="1">VLOOKUP(B235,[1]Sheet14!$C:$J,8,0)</f>
        <v>aneeshbabu.b@ych.com</v>
      </c>
    </row>
    <row r="236" spans="1:13">
      <c r="A236">
        <v>235</v>
      </c>
      <c r="B236" s="27" t="s">
        <v>128</v>
      </c>
      <c r="C236" s="27" t="s">
        <v>191</v>
      </c>
      <c r="D236" t="str">
        <f ca="1">VLOOKUP(B236,[1]Sheet14!$C:$H,6,0)</f>
        <v>LMSC</v>
      </c>
      <c r="E236" s="27" t="s">
        <v>195</v>
      </c>
      <c r="F236" s="27" t="s">
        <v>219</v>
      </c>
      <c r="G236" s="27" t="s">
        <v>353</v>
      </c>
      <c r="H236" s="27">
        <v>6309703197</v>
      </c>
      <c r="I236" s="27" t="s">
        <v>501</v>
      </c>
      <c r="J236" s="27">
        <v>7794037163</v>
      </c>
      <c r="K236" t="str">
        <f ca="1">VLOOKUP(B236,[1]Sheet14!$C:$I,7,0)</f>
        <v>CJDarcl India Pvt Ltd</v>
      </c>
      <c r="M236" t="str">
        <f ca="1">VLOOKUP(B236,[1]Sheet14!$C:$J,8,0)</f>
        <v>prashant.mishra@cjdarcl.com</v>
      </c>
    </row>
    <row r="237" spans="1:13">
      <c r="A237">
        <v>236</v>
      </c>
      <c r="B237" s="27" t="s">
        <v>129</v>
      </c>
      <c r="C237" s="27" t="s">
        <v>190</v>
      </c>
      <c r="D237" t="str">
        <f ca="1">VLOOKUP(B237,[1]Sheet14!$C:$H,6,0)</f>
        <v>FMSC</v>
      </c>
      <c r="E237" s="27" t="s">
        <v>194</v>
      </c>
      <c r="F237" s="27" t="s">
        <v>229</v>
      </c>
      <c r="G237" s="27" t="s">
        <v>354</v>
      </c>
      <c r="H237" s="33">
        <v>9990171664</v>
      </c>
      <c r="I237" s="27"/>
      <c r="J237" s="35"/>
      <c r="K237" t="str">
        <f ca="1">VLOOKUP(B237,[1]Sheet14!$C:$I,7,0)</f>
        <v>SHREE VASU LOGISTICS LTD</v>
      </c>
      <c r="M237" t="str">
        <f ca="1">VLOOKUP(B237,[1]Sheet14!$C:$J,8,0)</f>
        <v>warehouseinchargeraj@shreevasulogistics.in</v>
      </c>
    </row>
    <row r="238" spans="1:13">
      <c r="A238">
        <v>237</v>
      </c>
      <c r="B238" s="27" t="s">
        <v>133</v>
      </c>
      <c r="C238" s="27" t="s">
        <v>190</v>
      </c>
      <c r="D238" t="str">
        <f ca="1">VLOOKUP(B238,[1]Sheet14!$C:$H,6,0)</f>
        <v>FMSC</v>
      </c>
      <c r="E238" s="27" t="s">
        <v>549</v>
      </c>
      <c r="F238" s="27" t="s">
        <v>220</v>
      </c>
      <c r="G238" s="27" t="s">
        <v>357</v>
      </c>
      <c r="H238" s="27">
        <v>7340255068</v>
      </c>
      <c r="I238" s="27" t="s">
        <v>504</v>
      </c>
      <c r="J238" s="27">
        <v>9424385431</v>
      </c>
      <c r="K238" t="str">
        <f ca="1">VLOOKUP(B238,[1]Sheet14!$C:$I,7,0)</f>
        <v>Parnami Logistics &amp; Packing Centre Pvt. Ltd</v>
      </c>
      <c r="M238" t="str">
        <f ca="1">VLOOKUP(B238,[1]Sheet14!$C:$J,8,0)</f>
        <v>manager.operations@parnamigroup-logistics.com / servicepartner@adarshmarketing.com</v>
      </c>
    </row>
    <row r="239" spans="1:13">
      <c r="A239">
        <v>238</v>
      </c>
      <c r="B239" s="27" t="s">
        <v>134</v>
      </c>
      <c r="C239" s="27" t="s">
        <v>190</v>
      </c>
      <c r="D239" t="str">
        <f ca="1">VLOOKUP(B239,[1]Sheet14!$C:$H,6,0)</f>
        <v>LMSC</v>
      </c>
      <c r="E239" s="27" t="s">
        <v>549</v>
      </c>
      <c r="F239" s="27" t="s">
        <v>550</v>
      </c>
      <c r="G239" s="27" t="s">
        <v>566</v>
      </c>
      <c r="H239" s="27">
        <v>7027651512</v>
      </c>
      <c r="I239" s="29" t="s">
        <v>583</v>
      </c>
      <c r="J239" s="31">
        <v>8607481761</v>
      </c>
      <c r="K239" t="str">
        <f ca="1">VLOOKUP(B239,[1]Sheet14!$C:$I,7,0)</f>
        <v xml:space="preserve">M/S R.D Logistics </v>
      </c>
      <c r="M239" t="str">
        <f ca="1">VLOOKUP(B239,[1]Sheet14!$C:$J,8,0)</f>
        <v>sparsh.agarwal@rdespl.com</v>
      </c>
    </row>
    <row r="240" spans="1:13">
      <c r="A240">
        <v>239</v>
      </c>
      <c r="B240" s="27" t="s">
        <v>189</v>
      </c>
      <c r="C240" s="27" t="s">
        <v>190</v>
      </c>
      <c r="D240" t="str">
        <f ca="1">VLOOKUP(B240,[1]Sheet14!$C:$H,6,0)</f>
        <v>LMSC</v>
      </c>
      <c r="E240" s="27" t="s">
        <v>549</v>
      </c>
      <c r="F240" s="27" t="s">
        <v>204</v>
      </c>
      <c r="G240" s="27" t="s">
        <v>360</v>
      </c>
      <c r="H240" s="27">
        <v>9987140855</v>
      </c>
      <c r="I240" s="27" t="s">
        <v>507</v>
      </c>
      <c r="J240" s="27">
        <v>9172031435</v>
      </c>
      <c r="K240" t="str">
        <f ca="1">VLOOKUP(B240,[1]Sheet14!$C:$I,7,0)</f>
        <v>Sar Logistics</v>
      </c>
      <c r="M240" t="str">
        <f ca="1">VLOOKUP(B240,[1]Sheet14!$C:$J,8,0)</f>
        <v>pratik.gupta@sarlogisolutions.com</v>
      </c>
    </row>
    <row r="241" spans="1:13">
      <c r="A241">
        <v>240</v>
      </c>
      <c r="B241" s="27" t="s">
        <v>148</v>
      </c>
      <c r="C241" s="27" t="s">
        <v>191</v>
      </c>
      <c r="D241" t="str">
        <f ca="1">VLOOKUP(B241,[1]Sheet14!$C:$H,6,0)</f>
        <v>LMSC</v>
      </c>
      <c r="E241" s="27" t="s">
        <v>195</v>
      </c>
      <c r="F241" s="27" t="s">
        <v>202</v>
      </c>
      <c r="G241" s="27" t="s">
        <v>371</v>
      </c>
      <c r="H241" s="27">
        <v>7204214516</v>
      </c>
      <c r="I241" s="27" t="s">
        <v>519</v>
      </c>
      <c r="J241" s="27">
        <v>9032477716</v>
      </c>
      <c r="K241" t="str">
        <f ca="1">VLOOKUP(B241,[1]Sheet14!$C:$I,7,0)</f>
        <v>Proconnect Supply Chain Solutions Limited</v>
      </c>
      <c r="M241" t="str">
        <f ca="1">VLOOKUP(B241,[1]Sheet14!$C:$J,8,0)</f>
        <v>gupta.kumar@proconnectlogistics.com</v>
      </c>
    </row>
    <row r="242" spans="1:13">
      <c r="A242">
        <v>241</v>
      </c>
      <c r="B242" s="27" t="s">
        <v>149</v>
      </c>
      <c r="C242" s="27" t="s">
        <v>190</v>
      </c>
      <c r="D242" t="str">
        <f ca="1">VLOOKUP(B242,[1]Sheet14!$C:$H,6,0)</f>
        <v>LMSC</v>
      </c>
      <c r="E242" s="27" t="s">
        <v>549</v>
      </c>
      <c r="F242" s="27" t="s">
        <v>247</v>
      </c>
      <c r="G242" s="27" t="s">
        <v>372</v>
      </c>
      <c r="H242" s="27">
        <v>8109234404</v>
      </c>
      <c r="I242" s="27" t="s">
        <v>402</v>
      </c>
      <c r="J242" s="27">
        <v>9301528602</v>
      </c>
      <c r="K242" t="str">
        <f ca="1">VLOOKUP(B242,[1]Sheet14!$C:$I,7,0)</f>
        <v>Gotek Logistics Private Limited</v>
      </c>
      <c r="M242" t="str">
        <f ca="1">VLOOKUP(B242,[1]Sheet14!$C:$J,8,0)</f>
        <v xml:space="preserve"> Prashanth.b@isalogistics.in</v>
      </c>
    </row>
    <row r="243" spans="1:13">
      <c r="A243">
        <v>242</v>
      </c>
      <c r="B243" s="27" t="s">
        <v>150</v>
      </c>
      <c r="C243" s="27" t="s">
        <v>190</v>
      </c>
      <c r="D243" t="str">
        <f ca="1">VLOOKUP(B243,[1]Sheet14!$C:$H,6,0)</f>
        <v>FMSC</v>
      </c>
      <c r="E243" s="27" t="s">
        <v>194</v>
      </c>
      <c r="F243" s="27" t="s">
        <v>233</v>
      </c>
      <c r="G243" s="27" t="s">
        <v>399</v>
      </c>
      <c r="H243" s="27">
        <v>8866206371</v>
      </c>
      <c r="I243" s="27"/>
      <c r="J243" s="27"/>
      <c r="K243" t="str">
        <f ca="1">VLOOKUP(B243,[1]Sheet14!$C:$I,7,0)</f>
        <v>CJDarcl India Pvt Ltd</v>
      </c>
      <c r="M243" t="str">
        <f ca="1">VLOOKUP(B243,[1]Sheet14!$C:$J,8,0)</f>
        <v>meesho_surat_wh@cjdarcl.com</v>
      </c>
    </row>
    <row r="244" spans="1:13">
      <c r="A244">
        <v>243</v>
      </c>
      <c r="B244" s="27" t="s">
        <v>152</v>
      </c>
      <c r="C244" s="27" t="s">
        <v>190</v>
      </c>
      <c r="D244" t="str">
        <f ca="1">VLOOKUP(B244,[1]Sheet14!$C:$H,6,0)</f>
        <v>Gateway</v>
      </c>
      <c r="E244" s="27" t="s">
        <v>194</v>
      </c>
      <c r="F244" s="27" t="s">
        <v>233</v>
      </c>
      <c r="G244" s="27" t="s">
        <v>457</v>
      </c>
      <c r="H244" s="27">
        <v>6351502235</v>
      </c>
      <c r="I244" s="27" t="s">
        <v>584</v>
      </c>
      <c r="J244" s="27">
        <v>9729936834</v>
      </c>
      <c r="K244" t="str">
        <f ca="1">VLOOKUP(B244,[1]Sheet14!$C:$I,7,0)</f>
        <v>CJDarcl India Pvt Ltd</v>
      </c>
      <c r="M244" t="str">
        <f ca="1">VLOOKUP(B244,[1]Sheet14!$C:$J,8,0)</f>
        <v>meesho_surat_wh@cjdarcl.com</v>
      </c>
    </row>
    <row r="245" spans="1:13">
      <c r="A245">
        <v>244</v>
      </c>
      <c r="B245" s="27" t="s">
        <v>155</v>
      </c>
      <c r="C245" s="27" t="s">
        <v>190</v>
      </c>
      <c r="D245" t="str">
        <f ca="1">VLOOKUP(B245,[1]Sheet14!$C:$H,6,0)</f>
        <v>Gateway</v>
      </c>
      <c r="E245" s="27" t="s">
        <v>194</v>
      </c>
      <c r="F245" s="27" t="s">
        <v>196</v>
      </c>
      <c r="G245" s="27" t="s">
        <v>556</v>
      </c>
      <c r="H245" s="27">
        <v>9867382285</v>
      </c>
      <c r="I245" s="27" t="s">
        <v>458</v>
      </c>
      <c r="J245" s="27">
        <v>9725104037</v>
      </c>
      <c r="K245" t="str">
        <f ca="1">VLOOKUP(B245,[1]Sheet14!$C:$I,7,0)</f>
        <v>Shree Maruti Integrated Logistics Limited</v>
      </c>
      <c r="M245" t="str">
        <f ca="1">VLOOKUP(B245,[1]Sheet14!$C:$J,8,0)</f>
        <v>ezaz.shaikh@shreemaruti.com</v>
      </c>
    </row>
    <row r="246" spans="1:13">
      <c r="A246">
        <v>245</v>
      </c>
      <c r="B246" s="27" t="s">
        <v>157</v>
      </c>
      <c r="C246" s="27" t="s">
        <v>191</v>
      </c>
      <c r="D246" t="str">
        <f ca="1">VLOOKUP(B246,[1]Sheet14!$C:$H,6,0)</f>
        <v>LMSC</v>
      </c>
      <c r="E246" s="27" t="s">
        <v>195</v>
      </c>
      <c r="F246" s="27" t="s">
        <v>248</v>
      </c>
      <c r="G246" s="27" t="s">
        <v>379</v>
      </c>
      <c r="H246" s="27">
        <v>9966553944</v>
      </c>
      <c r="I246" s="27" t="s">
        <v>524</v>
      </c>
      <c r="J246" s="27">
        <v>94923451390</v>
      </c>
      <c r="K246" t="str">
        <f ca="1">VLOOKUP(B246,[1]Sheet14!$C:$I,7,0)</f>
        <v>Optimizing Resources Private Limited</v>
      </c>
      <c r="M246" t="str">
        <f ca="1">VLOOKUP(B246,[1]Sheet14!$C:$J,8,0)</f>
        <v>ujienamartin@warehousenow.in </v>
      </c>
    </row>
    <row r="247" spans="1:13">
      <c r="A247">
        <v>246</v>
      </c>
      <c r="B247" s="27" t="s">
        <v>158</v>
      </c>
      <c r="C247" s="27" t="s">
        <v>190</v>
      </c>
      <c r="D247" t="str">
        <f ca="1">VLOOKUP(B247,[1]Sheet14!$C:$H,6,0)</f>
        <v>LMSC</v>
      </c>
      <c r="E247" s="27" t="s">
        <v>194</v>
      </c>
      <c r="F247" s="27" t="s">
        <v>233</v>
      </c>
      <c r="G247" s="27" t="s">
        <v>292</v>
      </c>
      <c r="H247" s="27">
        <v>8690056113</v>
      </c>
      <c r="I247" s="27" t="s">
        <v>525</v>
      </c>
      <c r="J247" s="27">
        <v>9724030383</v>
      </c>
      <c r="K247" t="str">
        <f ca="1">VLOOKUP(B247,[1]Sheet14!$C:$I,7,0)</f>
        <v>Ntex Transportation Services Pvt Ltd.</v>
      </c>
      <c r="M247" t="str">
        <f ca="1">VLOOKUP(B247,[1]Sheet14!$C:$J,8,0)</f>
        <v>tarunkumar.radadiya@elastic.run</v>
      </c>
    </row>
    <row r="248" spans="1:13">
      <c r="A248">
        <v>247</v>
      </c>
      <c r="B248" s="27" t="s">
        <v>159</v>
      </c>
      <c r="C248" s="27" t="s">
        <v>190</v>
      </c>
      <c r="D248" t="str">
        <f ca="1">VLOOKUP(B248,[1]Sheet14!$C:$H,6,0)</f>
        <v>Gateway</v>
      </c>
      <c r="E248" s="27" t="s">
        <v>549</v>
      </c>
      <c r="F248" s="27" t="s">
        <v>220</v>
      </c>
      <c r="G248" s="27" t="s">
        <v>380</v>
      </c>
      <c r="H248" s="27">
        <v>7877868720</v>
      </c>
      <c r="I248" s="27"/>
      <c r="J248" s="27"/>
      <c r="K248" t="str">
        <f ca="1">VLOOKUP(B248,[1]Sheet14!$C:$I,7,0)</f>
        <v>SHREE VASU LOGISTICS LTD</v>
      </c>
      <c r="M248" t="str">
        <f ca="1">VLOOKUP(B248,[1]Sheet14!$C:$J,8,0)</f>
        <v>warehouseinchargejaipur@shreevasulogistics.in</v>
      </c>
    </row>
    <row r="249" spans="1:13">
      <c r="A249">
        <v>248</v>
      </c>
      <c r="B249" s="27" t="s">
        <v>161</v>
      </c>
      <c r="C249" s="27" t="s">
        <v>191</v>
      </c>
      <c r="D249" t="str">
        <f ca="1">VLOOKUP(B249,[1]Sheet14!$C:$H,6,0)</f>
        <v>LMSC</v>
      </c>
      <c r="E249" s="27" t="s">
        <v>195</v>
      </c>
      <c r="F249" s="27" t="s">
        <v>203</v>
      </c>
      <c r="G249" s="27" t="s">
        <v>382</v>
      </c>
      <c r="H249" s="27" t="s">
        <v>414</v>
      </c>
      <c r="I249" s="27" t="s">
        <v>527</v>
      </c>
      <c r="J249" s="27">
        <v>9511785864</v>
      </c>
      <c r="K249" t="str">
        <f ca="1">VLOOKUP(B249,[1]Sheet14!$C:$I,7,0)</f>
        <v>TRACXLogis India Private Limited</v>
      </c>
      <c r="M249" t="str">
        <f ca="1">VLOOKUP(B249,[1]Sheet14!$C:$J,8,0)</f>
        <v>pradeep.kumar@qxpress.in</v>
      </c>
    </row>
    <row r="250" spans="1:13">
      <c r="A250">
        <v>249</v>
      </c>
      <c r="B250" s="27" t="s">
        <v>162</v>
      </c>
      <c r="C250" s="27" t="s">
        <v>190</v>
      </c>
      <c r="D250" t="str">
        <f ca="1">VLOOKUP(B250,[1]Sheet14!$C:$H,6,0)</f>
        <v>LMSC</v>
      </c>
      <c r="E250" s="27" t="s">
        <v>549</v>
      </c>
      <c r="F250" s="27" t="s">
        <v>228</v>
      </c>
      <c r="G250" s="27" t="s">
        <v>567</v>
      </c>
      <c r="H250" s="27">
        <v>7219373099</v>
      </c>
      <c r="I250" s="27" t="s">
        <v>469</v>
      </c>
      <c r="J250" s="27">
        <v>9284643233</v>
      </c>
      <c r="K250" t="str">
        <f ca="1">VLOOKUP(B250,[1]Sheet14!$C:$I,7,0)</f>
        <v>Edgistify</v>
      </c>
      <c r="M250" t="str">
        <f ca="1">VLOOKUP(B250,[1]Sheet14!$C:$J,8,0)</f>
        <v>shubhajit.roy@edgistify.com</v>
      </c>
    </row>
    <row r="251" spans="1:13">
      <c r="A251">
        <v>250</v>
      </c>
      <c r="B251" s="27" t="s">
        <v>164</v>
      </c>
      <c r="C251" s="27" t="s">
        <v>190</v>
      </c>
      <c r="D251" t="str">
        <f ca="1">VLOOKUP(B251,[1]Sheet14!$C:$H,6,0)</f>
        <v>FMSC</v>
      </c>
      <c r="E251" s="27" t="s">
        <v>194</v>
      </c>
      <c r="F251" s="27" t="s">
        <v>196</v>
      </c>
      <c r="G251" s="27" t="s">
        <v>291</v>
      </c>
      <c r="H251" s="27">
        <v>8426846828</v>
      </c>
      <c r="I251" s="27" t="s">
        <v>377</v>
      </c>
      <c r="J251" s="27">
        <v>8349966315</v>
      </c>
      <c r="K251" t="str">
        <f ca="1">VLOOKUP(B251,[1]Sheet14!$C:$I,7,0)</f>
        <v>Adamas</v>
      </c>
      <c r="M251" t="str">
        <f ca="1">VLOOKUP(B251,[1]Sheet14!$C:$J,8,0)</f>
        <v>mudit.goyal@ethicsgroup.in</v>
      </c>
    </row>
    <row r="252" spans="1:13">
      <c r="A252">
        <v>251</v>
      </c>
      <c r="B252" s="27" t="s">
        <v>165</v>
      </c>
      <c r="C252" s="27" t="s">
        <v>191</v>
      </c>
      <c r="D252" t="str">
        <f ca="1">VLOOKUP(B252,[1]Sheet14!$C:$H,6,0)</f>
        <v>LMSC</v>
      </c>
      <c r="E252" s="27" t="s">
        <v>195</v>
      </c>
      <c r="F252" s="27" t="s">
        <v>219</v>
      </c>
      <c r="G252" s="27" t="s">
        <v>385</v>
      </c>
      <c r="H252" s="27">
        <v>8121722331</v>
      </c>
      <c r="I252" s="27" t="s">
        <v>529</v>
      </c>
      <c r="J252" s="27">
        <v>8247226013</v>
      </c>
      <c r="K252" t="str">
        <f ca="1">VLOOKUP(B252,[1]Sheet14!$C:$I,7,0)</f>
        <v>MRC Logistics (India) Pvt. Ltd</v>
      </c>
      <c r="M252" t="str">
        <f ca="1">VLOOKUP(B252,[1]Sheet14!$C:$J,8,0)</f>
        <v>sandeep.srivastava@mrcindia.com</v>
      </c>
    </row>
    <row r="253" spans="1:13">
      <c r="A253">
        <v>252</v>
      </c>
      <c r="B253" s="27" t="s">
        <v>166</v>
      </c>
      <c r="C253" s="27" t="s">
        <v>191</v>
      </c>
      <c r="D253" t="str">
        <f ca="1">VLOOKUP(B253,[1]Sheet14!$C:$H,6,0)</f>
        <v>LMSC</v>
      </c>
      <c r="E253" s="27" t="s">
        <v>195</v>
      </c>
      <c r="F253" s="27" t="s">
        <v>208</v>
      </c>
      <c r="G253" s="27" t="s">
        <v>386</v>
      </c>
      <c r="H253" s="27">
        <v>6381376935</v>
      </c>
      <c r="I253" s="27" t="s">
        <v>530</v>
      </c>
      <c r="J253" s="27">
        <v>9080870413</v>
      </c>
      <c r="K253" t="str">
        <f ca="1">VLOOKUP(B253,[1]Sheet14!$C:$I,7,0)</f>
        <v>IBOB SCS</v>
      </c>
      <c r="M253" t="str">
        <f ca="1">VLOOKUP(B253,[1]Sheet14!$C:$J,8,0)</f>
        <v>Rajkumaar.nk@ibobscs.com</v>
      </c>
    </row>
    <row r="254" spans="1:13">
      <c r="A254">
        <v>253</v>
      </c>
      <c r="B254" s="27" t="s">
        <v>168</v>
      </c>
      <c r="C254" s="27" t="s">
        <v>191</v>
      </c>
      <c r="D254" t="str">
        <f ca="1">VLOOKUP(B254,[1]Sheet14!$C:$H,6,0)</f>
        <v>LMSC</v>
      </c>
      <c r="E254" s="27" t="s">
        <v>195</v>
      </c>
      <c r="F254" s="27" t="s">
        <v>223</v>
      </c>
      <c r="G254" s="27" t="s">
        <v>532</v>
      </c>
      <c r="H254" s="27">
        <v>8129392273</v>
      </c>
      <c r="I254" s="27" t="s">
        <v>388</v>
      </c>
      <c r="J254" s="27">
        <v>9995305036</v>
      </c>
      <c r="K254" t="str">
        <f ca="1">VLOOKUP(B254,[1]Sheet14!$C:$I,7,0)</f>
        <v>Goline Networks Private Limited</v>
      </c>
      <c r="M254" t="str">
        <f ca="1">VLOOKUP(B254,[1]Sheet14!$C:$J,8,0)</f>
        <v>Jyothis@goline.in</v>
      </c>
    </row>
    <row r="255" spans="1:13">
      <c r="A255">
        <v>254</v>
      </c>
      <c r="B255" s="27" t="s">
        <v>169</v>
      </c>
      <c r="C255" s="27" t="s">
        <v>190</v>
      </c>
      <c r="D255" t="str">
        <f ca="1">VLOOKUP(B255,[1]Sheet14!$C:$H,6,0)</f>
        <v>FMSC</v>
      </c>
      <c r="E255" s="27" t="s">
        <v>194</v>
      </c>
      <c r="F255" s="27" t="s">
        <v>235</v>
      </c>
      <c r="G255" s="27" t="s">
        <v>375</v>
      </c>
      <c r="H255" s="27">
        <v>9669575993</v>
      </c>
      <c r="I255" s="27" t="s">
        <v>389</v>
      </c>
      <c r="J255" s="27"/>
      <c r="K255" t="str">
        <f ca="1">VLOOKUP(B255,[1]Sheet14!$C:$I,7,0)</f>
        <v>Apollo Supply Chain Pvt Ltd</v>
      </c>
      <c r="M255" t="str">
        <f ca="1">VLOOKUP(B255,[1]Sheet14!$C:$J,8,0)</f>
        <v>mukesh.k@apollosupplychain.com</v>
      </c>
    </row>
    <row r="256" spans="1:13">
      <c r="A256">
        <v>255</v>
      </c>
      <c r="B256" s="27" t="s">
        <v>171</v>
      </c>
      <c r="C256" s="27" t="s">
        <v>191</v>
      </c>
      <c r="D256" t="str">
        <f ca="1">VLOOKUP(B256,[1]Sheet14!$C:$H,6,0)</f>
        <v>FMSC</v>
      </c>
      <c r="E256" s="27" t="s">
        <v>195</v>
      </c>
      <c r="F256" s="27" t="s">
        <v>237</v>
      </c>
      <c r="G256" s="27" t="s">
        <v>391</v>
      </c>
      <c r="H256" s="27">
        <v>7867882166</v>
      </c>
      <c r="I256" s="27"/>
      <c r="J256" s="27"/>
      <c r="K256" t="str">
        <f ca="1">VLOOKUP(B256,[1]Sheet14!$C:$I,7,0)</f>
        <v>NX Logistics India Pvt.Ltd.</v>
      </c>
      <c r="M256" t="str">
        <f ca="1">VLOOKUP(B256,[1]Sheet14!$C:$J,8,0)</f>
        <v>bharat.db@nipponexpress.com</v>
      </c>
    </row>
    <row r="257" spans="1:13">
      <c r="A257">
        <v>256</v>
      </c>
      <c r="B257" s="27" t="s">
        <v>172</v>
      </c>
      <c r="C257" s="27" t="s">
        <v>191</v>
      </c>
      <c r="D257" t="str">
        <f ca="1">VLOOKUP(B257,[1]Sheet14!$C:$H,6,0)</f>
        <v>Gateway</v>
      </c>
      <c r="E257" s="27" t="s">
        <v>195</v>
      </c>
      <c r="F257" s="27" t="s">
        <v>202</v>
      </c>
      <c r="G257" s="27" t="s">
        <v>392</v>
      </c>
      <c r="H257" s="27">
        <v>7978549949</v>
      </c>
      <c r="I257" s="27" t="s">
        <v>535</v>
      </c>
      <c r="J257" s="27">
        <v>7204454790</v>
      </c>
      <c r="K257" t="str">
        <f ca="1">VLOOKUP(B257,[1]Sheet14!$C:$I,7,0)</f>
        <v>Ntex Transportation Services Pvt Ltd.</v>
      </c>
      <c r="M257" t="str">
        <f ca="1">VLOOKUP(B257,[1]Sheet14!$C:$J,8,0)</f>
        <v>r.arjun@elastic.run</v>
      </c>
    </row>
    <row r="258" spans="1:13">
      <c r="A258">
        <v>257</v>
      </c>
      <c r="B258" s="27" t="s">
        <v>175</v>
      </c>
      <c r="C258" s="27" t="s">
        <v>190</v>
      </c>
      <c r="D258" t="str">
        <f ca="1">VLOOKUP(B258,[1]Sheet14!$C:$H,6,0)</f>
        <v>FMSC</v>
      </c>
      <c r="E258" s="27" t="s">
        <v>549</v>
      </c>
      <c r="F258" s="27" t="s">
        <v>240</v>
      </c>
      <c r="G258" s="27" t="s">
        <v>394</v>
      </c>
      <c r="H258" s="27">
        <v>9653282698</v>
      </c>
      <c r="I258" s="27"/>
      <c r="J258" s="27"/>
      <c r="K258" t="str">
        <f ca="1">VLOOKUP(B258,[1]Sheet14!$C:$I,7,0)</f>
        <v>DP World Express Logistics Private Limited</v>
      </c>
      <c r="M258" t="str">
        <f ca="1">VLOOKUP(B258,[1]Sheet14!$C:$J,8,0)</f>
        <v>balu.warghade@dpworld.com</v>
      </c>
    </row>
  </sheetData>
  <hyperlinks>
    <hyperlink ref="G16" r:id="rId1" xr:uid="{C9474F13-3F8B-4857-BFCA-EF7F051CEC37}"/>
    <hyperlink ref="G133" r:id="rId2" xr:uid="{C6F96932-B643-4D8D-B02B-C86717E0F198}"/>
    <hyperlink ref="G151" r:id="rId3" xr:uid="{27489465-86B6-45D8-BCF1-47A8106C4A42}"/>
    <hyperlink ref="I16" r:id="rId4" xr:uid="{7B0A155C-4E49-4FE9-967B-2F8C600466C0}"/>
    <hyperlink ref="I24" r:id="rId5" xr:uid="{D6C02E3F-E22A-4231-93A9-3FEEFCB50EBA}"/>
    <hyperlink ref="G188" r:id="rId6" xr:uid="{0E2CAABD-E36B-481A-BEF4-39828A2054CA}"/>
    <hyperlink ref="I188" r:id="rId7" xr:uid="{75C4DFA0-520B-4838-B912-994703ADFAB9}"/>
    <hyperlink ref="I190" r:id="rId8" xr:uid="{1ECE26B1-2D36-4210-9C4B-BB9E90CB2C39}"/>
    <hyperlink ref="I220" r:id="rId9" xr:uid="{5D6B3CE1-A312-4A3C-B0DF-0363B8044E97}"/>
    <hyperlink ref="I239" r:id="rId10" xr:uid="{08493117-1348-4D44-9887-183A6993CE48}"/>
  </hyperlinks>
  <pageMargins left="0.7" right="0.7" top="0.75" bottom="0.75" header="0.3" footer="0.3"/>
  <legacyDrawing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Karthik Gunasekaran</dc:creator>
  <cp:lastModifiedBy>Karthik Gunasekaran</cp:lastModifiedBy>
  <dcterms:created xsi:type="dcterms:W3CDTF">2026-03-22T01:51:08Z</dcterms:created>
  <dcterms:modified xsi:type="dcterms:W3CDTF">2026-03-22T02:05:47Z</dcterms:modified>
</cp:coreProperties>
</file>